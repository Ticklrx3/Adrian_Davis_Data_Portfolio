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c67ae6d3b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484898ba620d4ebd"/>
    <x:sheet xmlns:r="http://schemas.openxmlformats.org/officeDocument/2006/relationships" name="Activity Log" sheetId="2" r:id="Rb946bfc840a84797"/>
    <x:sheet xmlns:r="http://schemas.openxmlformats.org/officeDocument/2006/relationships" name="Status Tracker" sheetId="3" r:id="R6c35429e6a9f450e"/>
    <x:sheet xmlns:r="http://schemas.openxmlformats.org/officeDocument/2006/relationships" name="Summary" sheetId="4" r:id="R21f9ee2c7af749ca"/>
    <x:sheet xmlns:r="http://schemas.openxmlformats.org/officeDocument/2006/relationships" name="Reference Data" sheetId="5" r:id="Rba65c5b256d6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/dd/yyyy"/>
    <x:numFmt numFmtId="201" formatCode="mm/dd/yyyy hh:mm"/>
    <x:numFmt numFmtId="202" formatCode="0"/>
    <x:numFmt numFmtId="203" formatCode="0&quot;%&quot;"/>
    <x:numFmt numFmtId="204" formatCode="0.0%"/>
    <x:numFmt numFmtId="205" formatCode="0.0"/>
    <x:numFmt numFmtId="206" formatCode="12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365566"/>
      <x:name val="Carlito"/>
    </x:font>
    <x:font>
      <x:b/>
      <x:sz val="20"/>
      <x:color rgb="FF0B3C5D"/>
      <x:name val="Carlito"/>
    </x:font>
    <x:font>
      <x:b/>
      <x:sz val="14"/>
      <x:color rgb="FF0B3C5D"/>
      <x:name val="Carlito"/>
    </x:font>
    <x:font>
      <x:sz val="11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C5D"/>
      </x:patternFill>
    </x:fill>
    <x:fill>
      <x:patternFill patternType="solid">
        <x:fgColor rgb="FFEAF4F4"/>
      </x:patternFill>
    </x:fill>
    <x:fill>
      <x:patternFill patternType="solid">
        <x:fgColor rgb="FFFFFFFF"/>
      </x:patternFill>
    </x:fill>
    <x:fill>
      <x:patternFill patternType="solid">
        <x:fgColor rgb="FF2AA198"/>
      </x:patternFill>
    </x:fill>
    <x:fill>
      <x:patternFill patternType="solid">
        <x:fgColor rgb="FFDDEBF3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6" fontId="4" fillId="4" borderId="0" xfId="0" applyNumberFormat="1" applyFont="1" applyFill="1" applyBorder="1" applyAlignment="1">
      <x:alignment horizontal="center" vertical="center"/>
    </x:xf>
    <x:xf numFmtId="206" fontId="4" fillId="4" borderId="1" xfId="0" applyNumberFormat="1" applyFont="1" applyFill="1" applyBorder="1" applyAlignment="1">
      <x:alignment horizontal="center" vertical="center"/>
    </x:xf>
    <x:xf numFmtId="204" fontId="4" fillId="4" borderId="0" xfId="0" applyNumberFormat="1" applyFont="1" applyFill="1" applyBorder="1" applyAlignment="1">
      <x:alignment horizontal="center" vertical="center"/>
    </x:xf>
    <x:xf numFmtId="204" fontId="4" fillId="4" borderId="1" xfId="0" applyNumberFormat="1" applyFont="1" applyFill="1" applyBorder="1" applyAlignment="1">
      <x:alignment horizontal="center" vertical="center"/>
    </x:xf>
    <x:xf numFmtId="205" fontId="4" fillId="4" borderId="0" xfId="0" applyNumberFormat="1" applyFont="1" applyFill="1" applyBorder="1" applyAlignment="1">
      <x:alignment horizontal="center" vertical="center"/>
    </x:xf>
    <x:xf numFmtId="205" fontId="4" fillId="4" borderId="1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left" wrapText="1"/>
    </x:xf>
    <x:xf numFmtId="0" fontId="6" fillId="7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7210ee47d4d70" /><Relationship Type="http://schemas.openxmlformats.org/officeDocument/2006/relationships/theme" Target="/xl/theme/theme1.xml" Id="R8b8d28bb7cb546af" /><Relationship Type="http://schemas.openxmlformats.org/officeDocument/2006/relationships/sharedStrings" Target="/xl/sharedStrings.xml" Id="R70410f2acd2c4c89" /><Relationship Type="http://schemas.openxmlformats.org/officeDocument/2006/relationships/worksheet" Target="/xl/worksheets/sheet1.xml" Id="R484898ba620d4ebd" /><Relationship Type="http://schemas.openxmlformats.org/officeDocument/2006/relationships/worksheet" Target="/xl/worksheets/sheet2.xml" Id="Rb946bfc840a84797" /><Relationship Type="http://schemas.openxmlformats.org/officeDocument/2006/relationships/worksheet" Target="/xl/worksheets/sheet3.xml" Id="R6c35429e6a9f450e" /><Relationship Type="http://schemas.openxmlformats.org/officeDocument/2006/relationships/worksheet" Target="/xl/worksheets/sheet4.xml" Id="R21f9ee2c7af749ca" /><Relationship Type="http://schemas.openxmlformats.org/officeDocument/2006/relationships/worksheet" Target="/xl/worksheets/sheet5.xml" Id="Rba65c5b256d645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20b3c8c7264e21" /><Relationship Type="http://schemas.openxmlformats.org/officeDocument/2006/relationships/chart" Target="/xl/drawings/charts/chart2.xml" Id="R3f753e46a84b42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and Completions by Team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Records</c:v>
          </c:tx>
          <c:cat>
            <c:strRef>
              <c:f>'Summary'!$A$2:$A$7</c:f>
              <c:strCache>
                <c:ptCount val="0"/>
              </c:strCache>
            </c:strRef>
          </c:cat>
          <c:val>
            <c:numRef>
              <c:f>'Summary'!$B$2:$B$7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'Summary'!$A$2:$A$7</c:f>
              <c:strCache>
                <c:ptCount val="0"/>
              </c:strCache>
            </c:strRef>
          </c:cat>
          <c:val>
            <c:numRef>
              <c:f>'Summary'!$C$2:$C$7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Records and Quality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Records</c:v>
          </c:tx>
          <c:cat>
            <c:strRef>
              <c:f>'Summary'!$G$2:$G$31</c:f>
              <c:strCache>
                <c:ptCount val="0"/>
              </c:strCache>
            </c:strRef>
          </c:cat>
          <c:val>
            <c:numRef>
              <c:f>'Summary'!$H$2:$H$31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On-Time</c:v>
          </c:tx>
          <c:cat>
            <c:strRef>
              <c:f>'Summary'!$G$2:$G$31</c:f>
              <c:strCache>
                <c:ptCount val="0"/>
              </c:strCache>
            </c:strRef>
          </c:cat>
          <c:val>
            <c:numRef>
              <c:f>'Summary'!$I$2:$I$31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Average Quality</c:v>
          </c:tx>
          <c:cat>
            <c:strRef>
              <c:f>'Summary'!$G$2:$G$31</c:f>
              <c:strCache>
                <c:ptCount val="0"/>
              </c:strCache>
            </c:strRef>
          </c:cat>
          <c:val>
            <c:numRef>
              <c:f>'Summary'!$J$2:$J$31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20b3c8c7264e2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753e46a84b42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ityLogTable" displayName="ActivityLogTable" ref="A1:L121" headerRowCount="1">
  <x:tableColumns count="12">
    <x:tableColumn id="1" name="Date"/>
    <x:tableColumn id="2" name="Record ID"/>
    <x:tableColumn id="3" name="Team"/>
    <x:tableColumn id="4" name="Category"/>
    <x:tableColumn id="5" name="Planned Start"/>
    <x:tableColumn id="6" name="Actual Start"/>
    <x:tableColumn id="7" name="Variance (Min)"/>
    <x:tableColumn id="8" name="Status"/>
    <x:tableColumn id="9" name="Quality Score"/>
    <x:tableColumn id="10" name="On Time"/>
    <x:tableColumn id="11" name="Analyst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tusTrackerTable" displayName="StatusTrackerTable" ref="A1:H13" headerRowCount="1">
  <x:tableColumns count="8">
    <x:tableColumn id="1" name="Asset / Process"/>
    <x:tableColumn id="2" name="Owner"/>
    <x:tableColumn id="3" name="Current Status"/>
    <x:tableColumn id="4" name="Availability"/>
    <x:tableColumn id="5" name="Open Issues"/>
    <x:tableColumn id="6" name="Last Updated"/>
    <x:tableColumn id="7" name="Priority"/>
    <x:tableColumn id="8" name="Next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e79433a4424b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f7947e982a4e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d2d05b5f4d46d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0" t="str">
        <x:v>Operational Analytics Portfolio Demo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28" customHeight="1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8" customHeight="1">
      <x:c r="A3" s="36" t="str">
        <x:v>Sanitized sample workbook demonstrating data collection, validation, KPI reporting, and dashboard design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4" ht="22" customHeight="1">
      <x:c r="A4" s="59" t="str">
        <x:v>TOTAL RECORDS</x:v>
      </x:c>
      <x:c r="B4" s="59"/>
      <x:c r="C4" s="59"/>
      <x:c r="D4" s="59" t="str">
        <x:v>ON-TIME RATE</x:v>
      </x:c>
      <x:c r="E4" s="59"/>
      <x:c r="F4" s="59"/>
      <x:c r="G4" s="59" t="str">
        <x:v>AVERAGE QUALITY</x:v>
      </x:c>
      <x:c r="H4" s="59"/>
      <x:c r="I4" s="59"/>
      <x:c r="J4" s="59" t="str">
        <x:v>OPEN ISSUES</x:v>
      </x:c>
      <x:c r="K4" s="59"/>
      <x:c r="L4" s="59"/>
    </x:row>
    <x:row r="5" ht="22" customHeight="1">
      <x:c r="A5" s="48" t="n">
        <x:f>COUNTA('Activity Log'!$B$2:$B$121)</x:f>
        <x:v>120</x:v>
      </x:c>
      <x:c r="B5" s="48"/>
      <x:c r="C5" s="48"/>
      <x:c r="D5" s="50" t="n">
        <x:f>COUNTIF('Activity Log'!$J$2:$J$121,"Yes")/COUNTA('Activity Log'!$J$2:$J$121)</x:f>
        <x:v>0.675</x:v>
      </x:c>
      <x:c r="E5" s="50"/>
      <x:c r="F5" s="50"/>
      <x:c r="G5" s="52" t="n">
        <x:f>AVERAGE('Activity Log'!$I$2:$I$121)</x:f>
        <x:v>90.55833333333334</x:v>
      </x:c>
      <x:c r="H5" s="52"/>
      <x:c r="I5" s="52"/>
      <x:c r="J5" s="54" t="n">
        <x:f>SUM('Status Tracker'!$E$2:$E$13)</x:f>
        <x:v>18</x:v>
      </x:c>
      <x:c r="K5" s="54"/>
      <x:c r="L5" s="54"/>
    </x:row>
    <x:row r="6" ht="22" customHeight="1">
      <x:c r="A6" s="48"/>
      <x:c r="B6" s="48"/>
      <x:c r="C6" s="48"/>
      <x:c r="D6" s="50"/>
      <x:c r="E6" s="50"/>
      <x:c r="F6" s="50"/>
      <x:c r="G6" s="52"/>
      <x:c r="H6" s="52"/>
      <x:c r="I6" s="52"/>
      <x:c r="J6" s="54"/>
      <x:c r="K6" s="54"/>
      <x:c r="L6" s="54"/>
    </x:row>
    <x:row r="7" ht="22" customHeight="1">
      <x:c r="A7" s="48"/>
      <x:c r="B7" s="48"/>
      <x:c r="C7" s="48"/>
      <x:c r="D7" s="50"/>
      <x:c r="E7" s="50"/>
      <x:c r="F7" s="50"/>
      <x:c r="G7" s="52"/>
      <x:c r="H7" s="52"/>
      <x:c r="I7" s="52"/>
      <x:c r="J7" s="54"/>
      <x:c r="K7" s="54"/>
      <x:c r="L7" s="54"/>
    </x:row>
    <x:row r="8" ht="22" customHeight="1"/>
    <x:row r="9" ht="22" customHeight="1">
      <x:c r="A9" s="66" t="str">
        <x:v>Performance by Team</x:v>
      </x:c>
      <x:c r="B9" s="66"/>
      <x:c r="C9" s="66"/>
      <x:c r="D9" s="66"/>
      <x:c r="E9" s="66"/>
      <x:c r="F9" s="66"/>
      <x:c r="G9" s="66" t="str">
        <x:v>30-Day Quality Trend</x:v>
      </x:c>
      <x:c r="H9" s="66"/>
      <x:c r="I9" s="66"/>
      <x:c r="J9" s="66"/>
      <x:c r="K9" s="66"/>
      <x:c r="L9" s="66"/>
    </x:row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>
      <x:c r="A25" s="4" t="str">
        <x:v>Portfolio Notes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 ht="22" customHeight="1">
      <x:c r="A26" s="74" t="str">
        <x:v>This workbook uses fictional data and demonstrates structured tables, formula-driven calculations, data validation, conditional formatting, quality controls, and leadership-facing visualizations. No government, employer, personnel, or operational source data is included.</x:v>
      </x:c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</x:row>
    <x:row r="27" ht="22" customHeight="1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</x:row>
    <x:row r="28" ht="22" customHeight="1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</x:row>
    <x:row r="29" ht="22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</x:row>
    <x:row r="30" ht="22" customHeight="1"/>
  </x:sheetData>
  <x:mergeCells>
    <x:mergeCell ref="A1:L2"/>
    <x:mergeCell ref="A3:L3"/>
    <x:mergeCell ref="A5:C7"/>
    <x:mergeCell ref="D5:F7"/>
    <x:mergeCell ref="G5:I7"/>
    <x:mergeCell ref="J5:L7"/>
    <x:mergeCell ref="A4:C4"/>
    <x:mergeCell ref="D4:F4"/>
    <x:mergeCell ref="G4:I4"/>
    <x:mergeCell ref="J4:L4"/>
    <x:mergeCell ref="A9:F9"/>
    <x:mergeCell ref="G9:L9"/>
    <x:mergeCell ref="A25:L25"/>
    <x:mergeCell ref="A26:L29"/>
  </x:mergeCells>
  <x:pageMargins left="0.7" right="0.7" top="0.75" bottom="0.75" header="0.3" footer="0.3"/>
  <x:drawing xmlns:r="http://schemas.openxmlformats.org/officeDocument/2006/relationships" r:id="R5de79433a4424b8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3" hidden="0" customWidth="1"/>
    <x:col min="10" max="10" width="10" hidden="0" customWidth="1"/>
    <x:col min="11" max="11" width="13" hidden="0" customWidth="1"/>
    <x:col min="12" max="12" width="28" hidden="0" customWidth="1"/>
  </x:cols>
  <x:sheetData>
    <x:row r="1">
      <x:c r="A1" s="10" t="str">
        <x:v>Date</x:v>
      </x:c>
      <x:c r="B1" s="10" t="str">
        <x:v>Record ID</x:v>
      </x:c>
      <x:c r="C1" s="10" t="str">
        <x:v>Team</x:v>
      </x:c>
      <x:c r="D1" s="10" t="str">
        <x:v>Category</x:v>
      </x:c>
      <x:c r="E1" s="10" t="str">
        <x:v>Planned Start</x:v>
      </x:c>
      <x:c r="F1" s="10" t="str">
        <x:v>Actual Start</x:v>
      </x:c>
      <x:c r="G1" s="10" t="str">
        <x:v>Variance (Min)</x:v>
      </x:c>
      <x:c r="H1" s="10" t="str">
        <x:v>Status</x:v>
      </x:c>
      <x:c r="I1" s="10" t="str">
        <x:v>Quality Score</x:v>
      </x:c>
      <x:c r="J1" s="10" t="str">
        <x:v>On Time</x:v>
      </x:c>
      <x:c r="K1" s="10" t="str">
        <x:v>Analyst</x:v>
      </x:c>
      <x:c r="L1" s="10" t="str">
        <x:v>Notes</x:v>
      </x:c>
    </x:row>
    <x:row r="2">
      <x:c r="A2" s="14" t="n">
        <x:v>46204</x:v>
      </x:c>
      <x:c r="B2" s="11" t="str">
        <x:v>REC-1001</x:v>
      </x:c>
      <x:c r="C2" s="11" t="str">
        <x:v>Team Alpha</x:v>
      </x:c>
      <x:c r="D2" s="11" t="str">
        <x:v>Medical</x:v>
      </x:c>
      <x:c r="E2" s="16" t="n">
        <x:v>46204.42152777778</x:v>
      </x:c>
      <x:c r="F2" s="16" t="n">
        <x:v>46204.419444444444</x:v>
      </x:c>
      <x:c r="G2" s="11" t="n">
        <x:f>ROUND((F2-E2)*1440,0)</x:f>
        <x:v>-3</x:v>
      </x:c>
      <x:c r="H2" s="11" t="str">
        <x:v>Complete</x:v>
      </x:c>
      <x:c r="I2" s="18" t="n">
        <x:v>92</x:v>
      </x:c>
      <x:c r="J2" s="11" t="str">
        <x:f>IF(G2&lt;=15,"Yes","No")</x:f>
        <x:v>Yes</x:v>
      </x:c>
      <x:c r="K2" s="11" t="str">
        <x:v>R. Lee</x:v>
      </x:c>
      <x:c r="L2" s="11" t="str">
        <x:v>Follow-up required</x:v>
      </x:c>
    </x:row>
    <x:row r="3">
      <x:c r="A3" s="14" t="n">
        <x:v>46205</x:v>
      </x:c>
      <x:c r="B3" s="11" t="str">
        <x:v>REC-1002</x:v>
      </x:c>
      <x:c r="C3" s="11" t="str">
        <x:v>Team Bravo</x:v>
      </x:c>
      <x:c r="D3" s="11" t="str">
        <x:v>Personnel</x:v>
      </x:c>
      <x:c r="E3" s="16" t="n">
        <x:v>46205.55138888889</x:v>
      </x:c>
      <x:c r="F3" s="16" t="n">
        <x:v>46205.55486111111</x:v>
      </x:c>
      <x:c r="G3" s="11" t="n">
        <x:f>ROUND((F3-E3)*1440,0)</x:f>
        <x:v>5</x:v>
      </x:c>
      <x:c r="H3" s="11" t="str">
        <x:v>Complete</x:v>
      </x:c>
      <x:c r="I3" s="18" t="n">
        <x:v>89</x:v>
      </x:c>
      <x:c r="J3" s="11" t="str">
        <x:f>IF(G3&lt;=15,"Yes","No")</x:f>
        <x:v>Yes</x:v>
      </x:c>
      <x:c r="K3" s="11" t="str">
        <x:v>M. Carter</x:v>
      </x:c>
      <x:c r="L3" s="11" t="str">
        <x:v>Pending supporting documentation</x:v>
      </x:c>
    </x:row>
    <x:row r="4">
      <x:c r="A4" s="14" t="n">
        <x:v>46206</x:v>
      </x:c>
      <x:c r="B4" s="11" t="str">
        <x:v>REC-1003</x:v>
      </x:c>
      <x:c r="C4" s="11" t="str">
        <x:v>Team Charlie</x:v>
      </x:c>
      <x:c r="D4" s="11" t="str">
        <x:v>Logistics</x:v>
      </x:c>
      <x:c r="E4" s="16" t="n">
        <x:v>46206.68125</x:v>
      </x:c>
      <x:c r="F4" s="16" t="n">
        <x:v>46206.700694444444</x:v>
      </x:c>
      <x:c r="G4" s="11" t="n">
        <x:f>ROUND((F4-E4)*1440,0)</x:f>
        <x:v>28</x:v>
      </x:c>
      <x:c r="H4" s="11" t="str">
        <x:v>Complete</x:v>
      </x:c>
      <x:c r="I4" s="18" t="n">
        <x:v>94</x:v>
      </x:c>
      <x:c r="J4" s="11" t="str">
        <x:f>IF(G4&lt;=15,"Yes","No")</x:f>
        <x:v>No</x:v>
      </x:c>
      <x:c r="K4" s="11" t="str">
        <x:v>J. Smith</x:v>
      </x:c>
      <x:c r="L4" s="11" t="str">
        <x:v>Validated against source record</x:v>
      </x:c>
    </x:row>
    <x:row r="5">
      <x:c r="A5" s="14" t="n">
        <x:v>46207</x:v>
      </x:c>
      <x:c r="B5" s="11" t="str">
        <x:v>REC-1004</x:v>
      </x:c>
      <x:c r="C5" s="11" t="str">
        <x:v>Operations</x:v>
      </x:c>
      <x:c r="D5" s="11" t="str">
        <x:v>Medical</x:v>
      </x:c>
      <x:c r="E5" s="16" t="n">
        <x:v>46207.39444444444</x:v>
      </x:c>
      <x:c r="F5" s="16" t="n">
        <x:v>46207.38888888889</x:v>
      </x:c>
      <x:c r="G5" s="11" t="n">
        <x:f>ROUND((F5-E5)*1440,0)</x:f>
        <x:v>-8</x:v>
      </x:c>
      <x:c r="H5" s="11" t="str">
        <x:v>Complete</x:v>
      </x:c>
      <x:c r="I5" s="18" t="n">
        <x:v>91</x:v>
      </x:c>
      <x:c r="J5" s="11" t="str">
        <x:f>IF(G5&lt;=15,"Yes","No")</x:f>
        <x:v>Yes</x:v>
      </x:c>
      <x:c r="K5" s="11" t="str">
        <x:v>A. Davis</x:v>
      </x:c>
      <x:c r="L5" s="11" t="str">
        <x:v>Corrected missing field</x:v>
      </x:c>
    </x:row>
    <x:row r="6">
      <x:c r="A6" s="14" t="n">
        <x:v>46208</x:v>
      </x:c>
      <x:c r="B6" s="11" t="str">
        <x:v>REC-1005</x:v>
      </x:c>
      <x:c r="C6" s="11" t="str">
        <x:v>Support</x:v>
      </x:c>
      <x:c r="D6" s="11" t="str">
        <x:v>Personnel</x:v>
      </x:c>
      <x:c r="E6" s="16" t="n">
        <x:v>46208.524305555555</x:v>
      </x:c>
      <x:c r="F6" s="16" t="n">
        <x:v>46208.54861111111</x:v>
      </x:c>
      <x:c r="G6" s="11" t="n">
        <x:f>ROUND((F6-E6)*1440,0)</x:f>
        <x:v>35</x:v>
      </x:c>
      <x:c r="H6" s="11" t="str">
        <x:v>Complete</x:v>
      </x:c>
      <x:c r="I6" s="18" t="n">
        <x:v>91</x:v>
      </x:c>
      <x:c r="J6" s="11" t="str">
        <x:f>IF(G6&lt;=15,"Yes","No")</x:f>
        <x:v>No</x:v>
      </x:c>
      <x:c r="K6" s="11" t="str">
        <x:v>R. Lee</x:v>
      </x:c>
      <x:c r="L6" s="11" t="str">
        <x:v>Pending supporting documentation</x:v>
      </x:c>
    </x:row>
    <x:row r="7">
      <x:c r="A7" s="14" t="n">
        <x:v>46209</x:v>
      </x:c>
      <x:c r="B7" s="11" t="str">
        <x:v>REC-1006</x:v>
      </x:c>
      <x:c r="C7" s="11" t="str">
        <x:v>Finance</x:v>
      </x:c>
      <x:c r="D7" s="11" t="str">
        <x:v>Logistics</x:v>
      </x:c>
      <x:c r="E7" s="16" t="n">
        <x:v>46209.65416666667</x:v>
      </x:c>
      <x:c r="F7" s="16" t="n">
        <x:v>46209.67361111111</x:v>
      </x:c>
      <x:c r="G7" s="11" t="n">
        <x:f>ROUND((F7-E7)*1440,0)</x:f>
        <x:v>28</x:v>
      </x:c>
      <x:c r="H7" s="11" t="str">
        <x:v>Complete</x:v>
      </x:c>
      <x:c r="I7" s="18" t="n">
        <x:v>95</x:v>
      </x:c>
      <x:c r="J7" s="11" t="str">
        <x:f>IF(G7&lt;=15,"Yes","No")</x:f>
        <x:v>No</x:v>
      </x:c>
      <x:c r="K7" s="11" t="str">
        <x:v>M. Carter</x:v>
      </x:c>
      <x:c r="L7" s="11" t="str">
        <x:v>Corrected missing field</x:v>
      </x:c>
    </x:row>
    <x:row r="8">
      <x:c r="A8" s="14" t="n">
        <x:v>46210</x:v>
      </x:c>
      <x:c r="B8" s="11" t="str">
        <x:v>REC-1007</x:v>
      </x:c>
      <x:c r="C8" s="11" t="str">
        <x:v>Team Alpha</x:v>
      </x:c>
      <x:c r="D8" s="11" t="str">
        <x:v>Medical</x:v>
      </x:c>
      <x:c r="E8" s="16" t="n">
        <x:v>46210.36736111111</x:v>
      </x:c>
      <x:c r="F8" s="16" t="n">
        <x:v>46210.373611111114</x:v>
      </x:c>
      <x:c r="G8" s="11" t="n">
        <x:f>ROUND((F8-E8)*1440,0)</x:f>
        <x:v>9</x:v>
      </x:c>
      <x:c r="H8" s="11" t="str">
        <x:v>In Progress</x:v>
      </x:c>
      <x:c r="I8" s="18" t="n">
        <x:v>75</x:v>
      </x:c>
      <x:c r="J8" s="11" t="str">
        <x:f>IF(G8&lt;=15,"Yes","No")</x:f>
        <x:v>Yes</x:v>
      </x:c>
      <x:c r="K8" s="11" t="str">
        <x:v>J. Smith</x:v>
      </x:c>
      <x:c r="L8" s="11" t="str">
        <x:v>Follow-up required</x:v>
      </x:c>
    </x:row>
    <x:row r="9">
      <x:c r="A9" s="14" t="n">
        <x:v>46211</x:v>
      </x:c>
      <x:c r="B9" s="11" t="str">
        <x:v>REC-1008</x:v>
      </x:c>
      <x:c r="C9" s="11" t="str">
        <x:v>Team Bravo</x:v>
      </x:c>
      <x:c r="D9" s="11" t="str">
        <x:v>Personnel</x:v>
      </x:c>
      <x:c r="E9" s="16" t="n">
        <x:v>46211.49722222222</x:v>
      </x:c>
      <x:c r="F9" s="16" t="n">
        <x:v>46211.50833333333</x:v>
      </x:c>
      <x:c r="G9" s="11" t="n">
        <x:f>ROUND((F9-E9)*1440,0)</x:f>
        <x:v>16</x:v>
      </x:c>
      <x:c r="H9" s="11" t="str">
        <x:v>Complete</x:v>
      </x:c>
      <x:c r="I9" s="18" t="n">
        <x:v>90</x:v>
      </x:c>
      <x:c r="J9" s="11" t="str">
        <x:f>IF(G9&lt;=15,"Yes","No")</x:f>
        <x:v>No</x:v>
      </x:c>
      <x:c r="K9" s="11" t="str">
        <x:v>A. Davis</x:v>
      </x:c>
      <x:c r="L9" s="11" t="str">
        <x:v>Follow-up required</x:v>
      </x:c>
    </x:row>
    <x:row r="10">
      <x:c r="A10" s="14" t="n">
        <x:v>46212</x:v>
      </x:c>
      <x:c r="B10" s="11" t="str">
        <x:v>REC-1009</x:v>
      </x:c>
      <x:c r="C10" s="11" t="str">
        <x:v>Team Charlie</x:v>
      </x:c>
      <x:c r="D10" s="11" t="str">
        <x:v>Logistics</x:v>
      </x:c>
      <x:c r="E10" s="16" t="n">
        <x:v>46212.58541666667</x:v>
      </x:c>
      <x:c r="F10" s="16" t="n">
        <x:v>46212.59375</x:v>
      </x:c>
      <x:c r="G10" s="11" t="n">
        <x:f>ROUND((F10-E10)*1440,0)</x:f>
        <x:v>12</x:v>
      </x:c>
      <x:c r="H10" s="11" t="str">
        <x:v>Complete</x:v>
      </x:c>
      <x:c r="I10" s="18" t="n">
        <x:v>94</x:v>
      </x:c>
      <x:c r="J10" s="11" t="str">
        <x:f>IF(G10&lt;=15,"Yes","No")</x:f>
        <x:v>Yes</x:v>
      </x:c>
      <x:c r="K10" s="11" t="str">
        <x:v>R. Lee</x:v>
      </x:c>
      <x:c r="L10" s="11" t="str">
        <x:v>Validated against source record</x:v>
      </x:c>
    </x:row>
    <x:row r="11">
      <x:c r="A11" s="14" t="n">
        <x:v>46213</x:v>
      </x:c>
      <x:c r="B11" s="11" t="str">
        <x:v>REC-1010</x:v>
      </x:c>
      <x:c r="C11" s="11" t="str">
        <x:v>Operations</x:v>
      </x:c>
      <x:c r="D11" s="11" t="str">
        <x:v>Medical</x:v>
      </x:c>
      <x:c r="E11" s="16" t="n">
        <x:v>46213.29861111111</x:v>
      </x:c>
      <x:c r="F11" s="16" t="n">
        <x:v>46213.30694444444</x:v>
      </x:c>
      <x:c r="G11" s="11" t="n">
        <x:f>ROUND((F11-E11)*1440,0)</x:f>
        <x:v>12</x:v>
      </x:c>
      <x:c r="H11" s="11" t="str">
        <x:v>Needs Review</x:v>
      </x:c>
      <x:c r="I11" s="18" t="n">
        <x:v>94</x:v>
      </x:c>
      <x:c r="J11" s="11" t="str">
        <x:f>IF(G11&lt;=15,"Yes","No")</x:f>
        <x:v>Yes</x:v>
      </x:c>
      <x:c r="K11" s="11" t="str">
        <x:v>M. Carter</x:v>
      </x:c>
      <x:c r="L11" s="11" t="str">
        <x:v>Reviewed with team lead</x:v>
      </x:c>
    </x:row>
    <x:row r="12">
      <x:c r="A12" s="14" t="n">
        <x:v>46214</x:v>
      </x:c>
      <x:c r="B12" s="11" t="str">
        <x:v>REC-1011</x:v>
      </x:c>
      <x:c r="C12" s="11" t="str">
        <x:v>Support</x:v>
      </x:c>
      <x:c r="D12" s="11" t="str">
        <x:v>Personnel</x:v>
      </x:c>
      <x:c r="E12" s="16" t="n">
        <x:v>46214.42847222222</x:v>
      </x:c>
      <x:c r="F12" s="16" t="n">
        <x:v>46214.42291666667</x:v>
      </x:c>
      <x:c r="G12" s="11" t="n">
        <x:f>ROUND((F12-E12)*1440,0)</x:f>
        <x:v>-8</x:v>
      </x:c>
      <x:c r="H12" s="11" t="str">
        <x:v>In Progress</x:v>
      </x:c>
      <x:c r="I12" s="18" t="n">
        <x:v>92</x:v>
      </x:c>
      <x:c r="J12" s="11" t="str">
        <x:f>IF(G12&lt;=15,"Yes","No")</x:f>
        <x:v>Yes</x:v>
      </x:c>
      <x:c r="K12" s="11" t="str">
        <x:v>J. Smith</x:v>
      </x:c>
      <x:c r="L12" s="11" t="str">
        <x:v>Validated against source record</x:v>
      </x:c>
    </x:row>
    <x:row r="13">
      <x:c r="A13" s="14" t="n">
        <x:v>46215</x:v>
      </x:c>
      <x:c r="B13" s="11" t="str">
        <x:v>REC-1012</x:v>
      </x:c>
      <x:c r="C13" s="11" t="str">
        <x:v>Finance</x:v>
      </x:c>
      <x:c r="D13" s="11" t="str">
        <x:v>Logistics</x:v>
      </x:c>
      <x:c r="E13" s="16" t="n">
        <x:v>46215.558333333334</x:v>
      </x:c>
      <x:c r="F13" s="16" t="n">
        <x:v>46215.569444444445</x:v>
      </x:c>
      <x:c r="G13" s="11" t="n">
        <x:f>ROUND((F13-E13)*1440,0)</x:f>
        <x:v>16</x:v>
      </x:c>
      <x:c r="H13" s="11" t="str">
        <x:v>Complete</x:v>
      </x:c>
      <x:c r="I13" s="18" t="n">
        <x:v>92</x:v>
      </x:c>
      <x:c r="J13" s="11" t="str">
        <x:f>IF(G13&lt;=15,"Yes","No")</x:f>
        <x:v>No</x:v>
      </x:c>
      <x:c r="K13" s="11" t="str">
        <x:v>A. Davis</x:v>
      </x:c>
      <x:c r="L13" s="11" t="str">
        <x:v>Pending supporting documentation</x:v>
      </x:c>
    </x:row>
    <x:row r="14">
      <x:c r="A14" s="14" t="n">
        <x:v>46216</x:v>
      </x:c>
      <x:c r="B14" s="11" t="str">
        <x:v>REC-1013</x:v>
      </x:c>
      <x:c r="C14" s="11" t="str">
        <x:v>Team Alpha</x:v>
      </x:c>
      <x:c r="D14" s="11" t="str">
        <x:v>Medical</x:v>
      </x:c>
      <x:c r="E14" s="16" t="n">
        <x:v>46216.68819444445</x:v>
      </x:c>
      <x:c r="F14" s="16" t="n">
        <x:v>46216.7125</x:v>
      </x:c>
      <x:c r="G14" s="11" t="n">
        <x:f>ROUND((F14-E14)*1440,0)</x:f>
        <x:v>35</x:v>
      </x:c>
      <x:c r="H14" s="11" t="str">
        <x:v>Needs Review</x:v>
      </x:c>
      <x:c r="I14" s="18" t="n">
        <x:v>86</x:v>
      </x:c>
      <x:c r="J14" s="11" t="str">
        <x:f>IF(G14&lt;=15,"Yes","No")</x:f>
        <x:v>No</x:v>
      </x:c>
      <x:c r="K14" s="11" t="str">
        <x:v>R. Lee</x:v>
      </x:c>
      <x:c r="L14" s="11" t="str">
        <x:v>Corrected missing field</x:v>
      </x:c>
    </x:row>
    <x:row r="15">
      <x:c r="A15" s="14" t="n">
        <x:v>46217</x:v>
      </x:c>
      <x:c r="B15" s="11" t="str">
        <x:v>REC-1014</x:v>
      </x:c>
      <x:c r="C15" s="11" t="str">
        <x:v>Team Bravo</x:v>
      </x:c>
      <x:c r="D15" s="11" t="str">
        <x:v>Personnel</x:v>
      </x:c>
      <x:c r="E15" s="16" t="n">
        <x:v>46217.40138888889</x:v>
      </x:c>
      <x:c r="F15" s="16" t="n">
        <x:v>46217.404861111114</x:v>
      </x:c>
      <x:c r="G15" s="11" t="n">
        <x:f>ROUND((F15-E15)*1440,0)</x:f>
        <x:v>5</x:v>
      </x:c>
      <x:c r="H15" s="11" t="str">
        <x:v>In Progress</x:v>
      </x:c>
      <x:c r="I15" s="18" t="n">
        <x:v>76</x:v>
      </x:c>
      <x:c r="J15" s="11" t="str">
        <x:f>IF(G15&lt;=15,"Yes","No")</x:f>
        <x:v>Yes</x:v>
      </x:c>
      <x:c r="K15" s="11" t="str">
        <x:v>M. Carter</x:v>
      </x:c>
      <x:c r="L15" s="11" t="str">
        <x:v>Pending supporting documentation</x:v>
      </x:c>
    </x:row>
    <x:row r="16">
      <x:c r="A16" s="14" t="n">
        <x:v>46218</x:v>
      </x:c>
      <x:c r="B16" s="11" t="str">
        <x:v>REC-1015</x:v>
      </x:c>
      <x:c r="C16" s="11" t="str">
        <x:v>Team Charlie</x:v>
      </x:c>
      <x:c r="D16" s="11" t="str">
        <x:v>Logistics</x:v>
      </x:c>
      <x:c r="E16" s="16" t="n">
        <x:v>46218.53125</x:v>
      </x:c>
      <x:c r="F16" s="16" t="n">
        <x:v>46218.53472222222</x:v>
      </x:c>
      <x:c r="G16" s="11" t="n">
        <x:f>ROUND((F16-E16)*1440,0)</x:f>
        <x:v>5</x:v>
      </x:c>
      <x:c r="H16" s="11" t="str">
        <x:v>In Progress</x:v>
      </x:c>
      <x:c r="I16" s="18" t="n">
        <x:v>77</x:v>
      </x:c>
      <x:c r="J16" s="11" t="str">
        <x:f>IF(G16&lt;=15,"Yes","No")</x:f>
        <x:v>Yes</x:v>
      </x:c>
      <x:c r="K16" s="11" t="str">
        <x:v>J. Smith</x:v>
      </x:c>
      <x:c r="L16" s="11" t="str">
        <x:v>Follow-up required</x:v>
      </x:c>
    </x:row>
    <x:row r="17">
      <x:c r="A17" s="14" t="n">
        <x:v>46219</x:v>
      </x:c>
      <x:c r="B17" s="11" t="str">
        <x:v>REC-1016</x:v>
      </x:c>
      <x:c r="C17" s="11" t="str">
        <x:v>Operations</x:v>
      </x:c>
      <x:c r="D17" s="11" t="str">
        <x:v>Medical</x:v>
      </x:c>
      <x:c r="E17" s="16" t="n">
        <x:v>46219.66111111111</x:v>
      </x:c>
      <x:c r="F17" s="16" t="n">
        <x:v>46219.65902777778</x:v>
      </x:c>
      <x:c r="G17" s="11" t="n">
        <x:f>ROUND((F17-E17)*1440,0)</x:f>
        <x:v>-3</x:v>
      </x:c>
      <x:c r="H17" s="11" t="str">
        <x:v>Complete</x:v>
      </x:c>
      <x:c r="I17" s="18" t="n">
        <x:v>95</x:v>
      </x:c>
      <x:c r="J17" s="11" t="str">
        <x:f>IF(G17&lt;=15,"Yes","No")</x:f>
        <x:v>Yes</x:v>
      </x:c>
      <x:c r="K17" s="11" t="str">
        <x:v>A. Davis</x:v>
      </x:c>
      <x:c r="L17" s="11" t="str">
        <x:v>Pending supporting documentation</x:v>
      </x:c>
    </x:row>
    <x:row r="18">
      <x:c r="A18" s="14" t="n">
        <x:v>46220</x:v>
      </x:c>
      <x:c r="B18" s="11" t="str">
        <x:v>REC-1017</x:v>
      </x:c>
      <x:c r="C18" s="11" t="str">
        <x:v>Support</x:v>
      </x:c>
      <x:c r="D18" s="11" t="str">
        <x:v>Personnel</x:v>
      </x:c>
      <x:c r="E18" s="16" t="n">
        <x:v>46220.37430555555</x:v>
      </x:c>
      <x:c r="F18" s="16" t="n">
        <x:v>46220.38263888889</x:v>
      </x:c>
      <x:c r="G18" s="11" t="n">
        <x:f>ROUND((F18-E18)*1440,0)</x:f>
        <x:v>12</x:v>
      </x:c>
      <x:c r="H18" s="11" t="str">
        <x:v>Complete</x:v>
      </x:c>
      <x:c r="I18" s="18" t="n">
        <x:v>93</x:v>
      </x:c>
      <x:c r="J18" s="11" t="str">
        <x:f>IF(G18&lt;=15,"Yes","No")</x:f>
        <x:v>Yes</x:v>
      </x:c>
      <x:c r="K18" s="11" t="str">
        <x:v>R. Lee</x:v>
      </x:c>
      <x:c r="L18" s="11" t="str">
        <x:v>Follow-up required</x:v>
      </x:c>
    </x:row>
    <x:row r="19">
      <x:c r="A19" s="14" t="n">
        <x:v>46221</x:v>
      </x:c>
      <x:c r="B19" s="11" t="str">
        <x:v>REC-1018</x:v>
      </x:c>
      <x:c r="C19" s="11" t="str">
        <x:v>Finance</x:v>
      </x:c>
      <x:c r="D19" s="11" t="str">
        <x:v>Logistics</x:v>
      </x:c>
      <x:c r="E19" s="16" t="n">
        <x:v>46221.4625</x:v>
      </x:c>
      <x:c r="F19" s="16" t="n">
        <x:v>46221.46875</x:v>
      </x:c>
      <x:c r="G19" s="11" t="n">
        <x:f>ROUND((F19-E19)*1440,0)</x:f>
        <x:v>9</x:v>
      </x:c>
      <x:c r="H19" s="11" t="str">
        <x:v>In Progress</x:v>
      </x:c>
      <x:c r="I19" s="18" t="n">
        <x:v>96</x:v>
      </x:c>
      <x:c r="J19" s="11" t="str">
        <x:f>IF(G19&lt;=15,"Yes","No")</x:f>
        <x:v>Yes</x:v>
      </x:c>
      <x:c r="K19" s="11" t="str">
        <x:v>M. Carter</x:v>
      </x:c>
      <x:c r="L19" s="11" t="str">
        <x:v>Pending supporting documentation</x:v>
      </x:c>
    </x:row>
    <x:row r="20">
      <x:c r="A20" s="14" t="n">
        <x:v>46222</x:v>
      </x:c>
      <x:c r="B20" s="11" t="str">
        <x:v>REC-1019</x:v>
      </x:c>
      <x:c r="C20" s="11" t="str">
        <x:v>Team Alpha</x:v>
      </x:c>
      <x:c r="D20" s="11" t="str">
        <x:v>Medical</x:v>
      </x:c>
      <x:c r="E20" s="16" t="n">
        <x:v>46222.592361111114</x:v>
      </x:c>
      <x:c r="F20" s="16" t="n">
        <x:v>46222.59027777778</x:v>
      </x:c>
      <x:c r="G20" s="11" t="n">
        <x:f>ROUND((F20-E20)*1440,0)</x:f>
        <x:v>-3</x:v>
      </x:c>
      <x:c r="H20" s="11" t="str">
        <x:v>Complete</x:v>
      </x:c>
      <x:c r="I20" s="18" t="n">
        <x:v>90</x:v>
      </x:c>
      <x:c r="J20" s="11" t="str">
        <x:f>IF(G20&lt;=15,"Yes","No")</x:f>
        <x:v>Yes</x:v>
      </x:c>
      <x:c r="K20" s="11" t="str">
        <x:v>J. Smith</x:v>
      </x:c>
      <x:c r="L20" s="11" t="str">
        <x:v>Corrected missing field</x:v>
      </x:c>
    </x:row>
    <x:row r="21">
      <x:c r="A21" s="14" t="n">
        <x:v>46223</x:v>
      </x:c>
      <x:c r="B21" s="11" t="str">
        <x:v>REC-1020</x:v>
      </x:c>
      <x:c r="C21" s="11" t="str">
        <x:v>Team Bravo</x:v>
      </x:c>
      <x:c r="D21" s="11" t="str">
        <x:v>Personnel</x:v>
      </x:c>
      <x:c r="E21" s="16" t="n">
        <x:v>46223.305555555555</x:v>
      </x:c>
      <x:c r="F21" s="16" t="n">
        <x:v>46223.30902777778</x:v>
      </x:c>
      <x:c r="G21" s="11" t="n">
        <x:f>ROUND((F21-E21)*1440,0)</x:f>
        <x:v>5</x:v>
      </x:c>
      <x:c r="H21" s="11" t="str">
        <x:v>Complete</x:v>
      </x:c>
      <x:c r="I21" s="18" t="n">
        <x:v>94</x:v>
      </x:c>
      <x:c r="J21" s="11" t="str">
        <x:f>IF(G21&lt;=15,"Yes","No")</x:f>
        <x:v>Yes</x:v>
      </x:c>
      <x:c r="K21" s="11" t="str">
        <x:v>A. Davis</x:v>
      </x:c>
      <x:c r="L21" s="11" t="str">
        <x:v>Reviewed with team lead</x:v>
      </x:c>
    </x:row>
    <x:row r="22">
      <x:c r="A22" s="14" t="n">
        <x:v>46224</x:v>
      </x:c>
      <x:c r="B22" s="11" t="str">
        <x:v>REC-1021</x:v>
      </x:c>
      <x:c r="C22" s="11" t="str">
        <x:v>Team Charlie</x:v>
      </x:c>
      <x:c r="D22" s="11" t="str">
        <x:v>Logistics</x:v>
      </x:c>
      <x:c r="E22" s="16" t="n">
        <x:v>46224.43541666667</x:v>
      </x:c>
      <x:c r="F22" s="16" t="n">
        <x:v>46224.45486111111</x:v>
      </x:c>
      <x:c r="G22" s="11" t="n">
        <x:f>ROUND((F22-E22)*1440,0)</x:f>
        <x:v>28</x:v>
      </x:c>
      <x:c r="H22" s="11" t="str">
        <x:v>Complete</x:v>
      </x:c>
      <x:c r="I22" s="18" t="n">
        <x:v>93</x:v>
      </x:c>
      <x:c r="J22" s="11" t="str">
        <x:f>IF(G22&lt;=15,"Yes","No")</x:f>
        <x:v>No</x:v>
      </x:c>
      <x:c r="K22" s="11" t="str">
        <x:v>R. Lee</x:v>
      </x:c>
      <x:c r="L22" s="11" t="str">
        <x:v>Validated against source record</x:v>
      </x:c>
    </x:row>
    <x:row r="23">
      <x:c r="A23" s="14" t="n">
        <x:v>46225</x:v>
      </x:c>
      <x:c r="B23" s="11" t="str">
        <x:v>REC-1022</x:v>
      </x:c>
      <x:c r="C23" s="11" t="str">
        <x:v>Operations</x:v>
      </x:c>
      <x:c r="D23" s="11" t="str">
        <x:v>Medical</x:v>
      </x:c>
      <x:c r="E23" s="16" t="n">
        <x:v>46225.56527777778</x:v>
      </x:c>
      <x:c r="F23" s="16" t="n">
        <x:v>46225.56875</x:v>
      </x:c>
      <x:c r="G23" s="11" t="n">
        <x:f>ROUND((F23-E23)*1440,0)</x:f>
        <x:v>5</x:v>
      </x:c>
      <x:c r="H23" s="11" t="str">
        <x:v>In Progress</x:v>
      </x:c>
      <x:c r="I23" s="18" t="n">
        <x:v>85</x:v>
      </x:c>
      <x:c r="J23" s="11" t="str">
        <x:f>IF(G23&lt;=15,"Yes","No")</x:f>
        <x:v>Yes</x:v>
      </x:c>
      <x:c r="K23" s="11" t="str">
        <x:v>M. Carter</x:v>
      </x:c>
      <x:c r="L23" s="11" t="str">
        <x:v>No exceptions identified</x:v>
      </x:c>
    </x:row>
    <x:row r="24">
      <x:c r="A24" s="14" t="n">
        <x:v>46226</x:v>
      </x:c>
      <x:c r="B24" s="11" t="str">
        <x:v>REC-1023</x:v>
      </x:c>
      <x:c r="C24" s="11" t="str">
        <x:v>Support</x:v>
      </x:c>
      <x:c r="D24" s="11" t="str">
        <x:v>Personnel</x:v>
      </x:c>
      <x:c r="E24" s="16" t="n">
        <x:v>46226.69513888889</x:v>
      </x:c>
      <x:c r="F24" s="16" t="n">
        <x:v>46226.70138888889</x:v>
      </x:c>
      <x:c r="G24" s="11" t="n">
        <x:f>ROUND((F24-E24)*1440,0)</x:f>
        <x:v>9</x:v>
      </x:c>
      <x:c r="H24" s="11" t="str">
        <x:v>Complete</x:v>
      </x:c>
      <x:c r="I24" s="18" t="n">
        <x:v>97</x:v>
      </x:c>
      <x:c r="J24" s="11" t="str">
        <x:f>IF(G24&lt;=15,"Yes","No")</x:f>
        <x:v>Yes</x:v>
      </x:c>
      <x:c r="K24" s="11" t="str">
        <x:v>J. Smith</x:v>
      </x:c>
      <x:c r="L24" s="11" t="str">
        <x:v>Pending supporting documentation</x:v>
      </x:c>
    </x:row>
    <x:row r="25">
      <x:c r="A25" s="14" t="n">
        <x:v>46227</x:v>
      </x:c>
      <x:c r="B25" s="11" t="str">
        <x:v>REC-1024</x:v>
      </x:c>
      <x:c r="C25" s="11" t="str">
        <x:v>Finance</x:v>
      </x:c>
      <x:c r="D25" s="11" t="str">
        <x:v>Logistics</x:v>
      </x:c>
      <x:c r="E25" s="16" t="n">
        <x:v>46227.40833333333</x:v>
      </x:c>
      <x:c r="F25" s="16" t="n">
        <x:v>46227.416666666664</x:v>
      </x:c>
      <x:c r="G25" s="11" t="n">
        <x:f>ROUND((F25-E25)*1440,0)</x:f>
        <x:v>12</x:v>
      </x:c>
      <x:c r="H25" s="11" t="str">
        <x:v>Complete</x:v>
      </x:c>
      <x:c r="I25" s="18" t="n">
        <x:v>95</x:v>
      </x:c>
      <x:c r="J25" s="11" t="str">
        <x:f>IF(G25&lt;=15,"Yes","No")</x:f>
        <x:v>Yes</x:v>
      </x:c>
      <x:c r="K25" s="11" t="str">
        <x:v>A. Davis</x:v>
      </x:c>
      <x:c r="L25" s="11" t="str">
        <x:v>No exceptions identified</x:v>
      </x:c>
    </x:row>
    <x:row r="26">
      <x:c r="A26" s="14" t="n">
        <x:v>46228</x:v>
      </x:c>
      <x:c r="B26" s="11" t="str">
        <x:v>REC-1025</x:v>
      </x:c>
      <x:c r="C26" s="11" t="str">
        <x:v>Team Alpha</x:v>
      </x:c>
      <x:c r="D26" s="11" t="str">
        <x:v>Medical</x:v>
      </x:c>
      <x:c r="E26" s="16" t="n">
        <x:v>46228.538194444445</x:v>
      </x:c>
      <x:c r="F26" s="16" t="n">
        <x:v>46228.552777777775</x:v>
      </x:c>
      <x:c r="G26" s="11" t="n">
        <x:f>ROUND((F26-E26)*1440,0)</x:f>
        <x:v>21</x:v>
      </x:c>
      <x:c r="H26" s="11" t="str">
        <x:v>Complete</x:v>
      </x:c>
      <x:c r="I26" s="18" t="n">
        <x:v>90</x:v>
      </x:c>
      <x:c r="J26" s="11" t="str">
        <x:f>IF(G26&lt;=15,"Yes","No")</x:f>
        <x:v>No</x:v>
      </x:c>
      <x:c r="K26" s="11" t="str">
        <x:v>R. Lee</x:v>
      </x:c>
      <x:c r="L26" s="11" t="str">
        <x:v>Follow-up required</x:v>
      </x:c>
    </x:row>
    <x:row r="27">
      <x:c r="A27" s="14" t="n">
        <x:v>46229</x:v>
      </x:c>
      <x:c r="B27" s="11" t="str">
        <x:v>REC-1026</x:v>
      </x:c>
      <x:c r="C27" s="11" t="str">
        <x:v>Team Bravo</x:v>
      </x:c>
      <x:c r="D27" s="11" t="str">
        <x:v>Personnel</x:v>
      </x:c>
      <x:c r="E27" s="16" t="n">
        <x:v>46229.626388888886</x:v>
      </x:c>
      <x:c r="F27" s="16" t="n">
        <x:v>46229.645833333336</x:v>
      </x:c>
      <x:c r="G27" s="11" t="n">
        <x:f>ROUND((F27-E27)*1440,0)</x:f>
        <x:v>28</x:v>
      </x:c>
      <x:c r="H27" s="11" t="str">
        <x:v>Complete</x:v>
      </x:c>
      <x:c r="I27" s="18" t="n">
        <x:v>99</x:v>
      </x:c>
      <x:c r="J27" s="11" t="str">
        <x:f>IF(G27&lt;=15,"Yes","No")</x:f>
        <x:v>No</x:v>
      </x:c>
      <x:c r="K27" s="11" t="str">
        <x:v>M. Carter</x:v>
      </x:c>
      <x:c r="L27" s="11" t="str">
        <x:v>Corrected missing field</x:v>
      </x:c>
    </x:row>
    <x:row r="28">
      <x:c r="A28" s="14" t="n">
        <x:v>46230</x:v>
      </x:c>
      <x:c r="B28" s="11" t="str">
        <x:v>REC-1027</x:v>
      </x:c>
      <x:c r="C28" s="11" t="str">
        <x:v>Team Charlie</x:v>
      </x:c>
      <x:c r="D28" s="11" t="str">
        <x:v>Logistics</x:v>
      </x:c>
      <x:c r="E28" s="16" t="n">
        <x:v>46230.339583333334</x:v>
      </x:c>
      <x:c r="F28" s="16" t="n">
        <x:v>46230.350694444445</x:v>
      </x:c>
      <x:c r="G28" s="11" t="n">
        <x:f>ROUND((F28-E28)*1440,0)</x:f>
        <x:v>16</x:v>
      </x:c>
      <x:c r="H28" s="11" t="str">
        <x:v>Needs Review</x:v>
      </x:c>
      <x:c r="I28" s="18" t="n">
        <x:v>87</x:v>
      </x:c>
      <x:c r="J28" s="11" t="str">
        <x:f>IF(G28&lt;=15,"Yes","No")</x:f>
        <x:v>No</x:v>
      </x:c>
      <x:c r="K28" s="11" t="str">
        <x:v>J. Smith</x:v>
      </x:c>
      <x:c r="L28" s="11" t="str">
        <x:v>Reviewed with team lead</x:v>
      </x:c>
    </x:row>
    <x:row r="29">
      <x:c r="A29" s="14" t="n">
        <x:v>46231</x:v>
      </x:c>
      <x:c r="B29" s="11" t="str">
        <x:v>REC-1028</x:v>
      </x:c>
      <x:c r="C29" s="11" t="str">
        <x:v>Operations</x:v>
      </x:c>
      <x:c r="D29" s="11" t="str">
        <x:v>Medical</x:v>
      </x:c>
      <x:c r="E29" s="16" t="n">
        <x:v>46231.46944444445</x:v>
      </x:c>
      <x:c r="F29" s="16" t="n">
        <x:v>46231.472916666666</x:v>
      </x:c>
      <x:c r="G29" s="11" t="n">
        <x:f>ROUND((F29-E29)*1440,0)</x:f>
        <x:v>5</x:v>
      </x:c>
      <x:c r="H29" s="11" t="str">
        <x:v>Delayed</x:v>
      </x:c>
      <x:c r="I29" s="18" t="n">
        <x:v>79</x:v>
      </x:c>
      <x:c r="J29" s="11" t="str">
        <x:f>IF(G29&lt;=15,"Yes","No")</x:f>
        <x:v>Yes</x:v>
      </x:c>
      <x:c r="K29" s="11" t="str">
        <x:v>A. Davis</x:v>
      </x:c>
      <x:c r="L29" s="11" t="str">
        <x:v>Corrected missing field</x:v>
      </x:c>
    </x:row>
    <x:row r="30">
      <x:c r="A30" s="14" t="n">
        <x:v>46232</x:v>
      </x:c>
      <x:c r="B30" s="11" t="str">
        <x:v>REC-1029</x:v>
      </x:c>
      <x:c r="C30" s="11" t="str">
        <x:v>Support</x:v>
      </x:c>
      <x:c r="D30" s="11" t="str">
        <x:v>Personnel</x:v>
      </x:c>
      <x:c r="E30" s="16" t="n">
        <x:v>46232.59930555556</x:v>
      </x:c>
      <x:c r="F30" s="16" t="n">
        <x:v>46232.61388888889</x:v>
      </x:c>
      <x:c r="G30" s="11" t="n">
        <x:f>ROUND((F30-E30)*1440,0)</x:f>
        <x:v>21</x:v>
      </x:c>
      <x:c r="H30" s="11" t="str">
        <x:v>Complete</x:v>
      </x:c>
      <x:c r="I30" s="18" t="n">
        <x:v>88</x:v>
      </x:c>
      <x:c r="J30" s="11" t="str">
        <x:f>IF(G30&lt;=15,"Yes","No")</x:f>
        <x:v>No</x:v>
      </x:c>
      <x:c r="K30" s="11" t="str">
        <x:v>R. Lee</x:v>
      </x:c>
      <x:c r="L30" s="11" t="str">
        <x:v>Validated against source record</x:v>
      </x:c>
    </x:row>
    <x:row r="31">
      <x:c r="A31" s="14" t="n">
        <x:v>46233</x:v>
      </x:c>
      <x:c r="B31" s="11" t="str">
        <x:v>REC-1030</x:v>
      </x:c>
      <x:c r="C31" s="11" t="str">
        <x:v>Finance</x:v>
      </x:c>
      <x:c r="D31" s="11" t="str">
        <x:v>Logistics</x:v>
      </x:c>
      <x:c r="E31" s="16" t="n">
        <x:v>46233.3125</x:v>
      </x:c>
      <x:c r="F31" s="16" t="n">
        <x:v>46233.313888888886</x:v>
      </x:c>
      <x:c r="G31" s="11" t="n">
        <x:f>ROUND((F31-E31)*1440,0)</x:f>
        <x:v>2</x:v>
      </x:c>
      <x:c r="H31" s="11" t="str">
        <x:v>Complete</x:v>
      </x:c>
      <x:c r="I31" s="18" t="n">
        <x:v>100</x:v>
      </x:c>
      <x:c r="J31" s="11" t="str">
        <x:f>IF(G31&lt;=15,"Yes","No")</x:f>
        <x:v>Yes</x:v>
      </x:c>
      <x:c r="K31" s="11" t="str">
        <x:v>M. Carter</x:v>
      </x:c>
      <x:c r="L31" s="11" t="str">
        <x:v>Pending supporting documentation</x:v>
      </x:c>
    </x:row>
    <x:row r="32">
      <x:c r="A32" s="14" t="n">
        <x:v>46204</x:v>
      </x:c>
      <x:c r="B32" s="11" t="str">
        <x:v>REC-1031</x:v>
      </x:c>
      <x:c r="C32" s="11" t="str">
        <x:v>Team Alpha</x:v>
      </x:c>
      <x:c r="D32" s="11" t="str">
        <x:v>Medical</x:v>
      </x:c>
      <x:c r="E32" s="16" t="n">
        <x:v>46204.44236111111</x:v>
      </x:c>
      <x:c r="F32" s="16" t="n">
        <x:v>46204.45347222222</x:v>
      </x:c>
      <x:c r="G32" s="11" t="n">
        <x:f>ROUND((F32-E32)*1440,0)</x:f>
        <x:v>16</x:v>
      </x:c>
      <x:c r="H32" s="11" t="str">
        <x:v>Complete</x:v>
      </x:c>
      <x:c r="I32" s="18" t="n">
        <x:v>94</x:v>
      </x:c>
      <x:c r="J32" s="11" t="str">
        <x:f>IF(G32&lt;=15,"Yes","No")</x:f>
        <x:v>No</x:v>
      </x:c>
      <x:c r="K32" s="11" t="str">
        <x:v>J. Smith</x:v>
      </x:c>
      <x:c r="L32" s="11" t="str">
        <x:v>No exceptions identified</x:v>
      </x:c>
    </x:row>
    <x:row r="33">
      <x:c r="A33" s="14" t="n">
        <x:v>46205</x:v>
      </x:c>
      <x:c r="B33" s="11" t="str">
        <x:v>REC-1032</x:v>
      </x:c>
      <x:c r="C33" s="11" t="str">
        <x:v>Team Bravo</x:v>
      </x:c>
      <x:c r="D33" s="11" t="str">
        <x:v>Personnel</x:v>
      </x:c>
      <x:c r="E33" s="16" t="n">
        <x:v>46205.572222222225</x:v>
      </x:c>
      <x:c r="F33" s="16" t="n">
        <x:v>46205.59652777778</x:v>
      </x:c>
      <x:c r="G33" s="11" t="n">
        <x:f>ROUND((F33-E33)*1440,0)</x:f>
        <x:v>35</x:v>
      </x:c>
      <x:c r="H33" s="11" t="str">
        <x:v>Delayed</x:v>
      </x:c>
      <x:c r="I33" s="18" t="n">
        <x:v>91</x:v>
      </x:c>
      <x:c r="J33" s="11" t="str">
        <x:f>IF(G33&lt;=15,"Yes","No")</x:f>
        <x:v>No</x:v>
      </x:c>
      <x:c r="K33" s="11" t="str">
        <x:v>A. Davis</x:v>
      </x:c>
      <x:c r="L33" s="11" t="str">
        <x:v>Reviewed with team lead</x:v>
      </x:c>
    </x:row>
    <x:row r="34">
      <x:c r="A34" s="14" t="n">
        <x:v>46206</x:v>
      </x:c>
      <x:c r="B34" s="11" t="str">
        <x:v>REC-1033</x:v>
      </x:c>
      <x:c r="C34" s="11" t="str">
        <x:v>Team Charlie</x:v>
      </x:c>
      <x:c r="D34" s="11" t="str">
        <x:v>Logistics</x:v>
      </x:c>
      <x:c r="E34" s="16" t="n">
        <x:v>46206.70208333333</x:v>
      </x:c>
      <x:c r="F34" s="16" t="n">
        <x:v>46206.72152777778</x:v>
      </x:c>
      <x:c r="G34" s="11" t="n">
        <x:f>ROUND((F34-E34)*1440,0)</x:f>
        <x:v>28</x:v>
      </x:c>
      <x:c r="H34" s="11" t="str">
        <x:v>Needs Review</x:v>
      </x:c>
      <x:c r="I34" s="18" t="n">
        <x:v>75</x:v>
      </x:c>
      <x:c r="J34" s="11" t="str">
        <x:f>IF(G34&lt;=15,"Yes","No")</x:f>
        <x:v>No</x:v>
      </x:c>
      <x:c r="K34" s="11" t="str">
        <x:v>R. Lee</x:v>
      </x:c>
      <x:c r="L34" s="11" t="str">
        <x:v>Pending supporting documentation</x:v>
      </x:c>
    </x:row>
    <x:row r="35">
      <x:c r="A35" s="14" t="n">
        <x:v>46207</x:v>
      </x:c>
      <x:c r="B35" s="11" t="str">
        <x:v>REC-1034</x:v>
      </x:c>
      <x:c r="C35" s="11" t="str">
        <x:v>Operations</x:v>
      </x:c>
      <x:c r="D35" s="11" t="str">
        <x:v>Medical</x:v>
      </x:c>
      <x:c r="E35" s="16" t="n">
        <x:v>46207.41527777778</x:v>
      </x:c>
      <x:c r="F35" s="16" t="n">
        <x:v>46207.413194444445</x:v>
      </x:c>
      <x:c r="G35" s="11" t="n">
        <x:f>ROUND((F35-E35)*1440,0)</x:f>
        <x:v>-3</x:v>
      </x:c>
      <x:c r="H35" s="11" t="str">
        <x:v>In Progress</x:v>
      </x:c>
      <x:c r="I35" s="18" t="n">
        <x:v>92</x:v>
      </x:c>
      <x:c r="J35" s="11" t="str">
        <x:f>IF(G35&lt;=15,"Yes","No")</x:f>
        <x:v>Yes</x:v>
      </x:c>
      <x:c r="K35" s="11" t="str">
        <x:v>M. Carter</x:v>
      </x:c>
      <x:c r="L35" s="11" t="str">
        <x:v>Reviewed with team lead</x:v>
      </x:c>
    </x:row>
    <x:row r="36">
      <x:c r="A36" s="14" t="n">
        <x:v>46208</x:v>
      </x:c>
      <x:c r="B36" s="11" t="str">
        <x:v>REC-1035</x:v>
      </x:c>
      <x:c r="C36" s="11" t="str">
        <x:v>Support</x:v>
      </x:c>
      <x:c r="D36" s="11" t="str">
        <x:v>Personnel</x:v>
      </x:c>
      <x:c r="E36" s="16" t="n">
        <x:v>46208.50347222222</x:v>
      </x:c>
      <x:c r="F36" s="16" t="n">
        <x:v>46208.51180555556</x:v>
      </x:c>
      <x:c r="G36" s="11" t="n">
        <x:f>ROUND((F36-E36)*1440,0)</x:f>
        <x:v>12</x:v>
      </x:c>
      <x:c r="H36" s="11" t="str">
        <x:v>Complete</x:v>
      </x:c>
      <x:c r="I36" s="18" t="n">
        <x:v>94</x:v>
      </x:c>
      <x:c r="J36" s="11" t="str">
        <x:f>IF(G36&lt;=15,"Yes","No")</x:f>
        <x:v>Yes</x:v>
      </x:c>
      <x:c r="K36" s="11" t="str">
        <x:v>J. Smith</x:v>
      </x:c>
      <x:c r="L36" s="11" t="str">
        <x:v>Follow-up required</x:v>
      </x:c>
    </x:row>
    <x:row r="37">
      <x:c r="A37" s="14" t="n">
        <x:v>46209</x:v>
      </x:c>
      <x:c r="B37" s="11" t="str">
        <x:v>REC-1036</x:v>
      </x:c>
      <x:c r="C37" s="11" t="str">
        <x:v>Finance</x:v>
      </x:c>
      <x:c r="D37" s="11" t="str">
        <x:v>Logistics</x:v>
      </x:c>
      <x:c r="E37" s="16" t="n">
        <x:v>46209.63333333333</x:v>
      </x:c>
      <x:c r="F37" s="16" t="n">
        <x:v>46209.64791666667</x:v>
      </x:c>
      <x:c r="G37" s="11" t="n">
        <x:f>ROUND((F37-E37)*1440,0)</x:f>
        <x:v>21</x:v>
      </x:c>
      <x:c r="H37" s="11" t="str">
        <x:v>Complete</x:v>
      </x:c>
      <x:c r="I37" s="18" t="n">
        <x:v>99</x:v>
      </x:c>
      <x:c r="J37" s="11" t="str">
        <x:f>IF(G37&lt;=15,"Yes","No")</x:f>
        <x:v>No</x:v>
      </x:c>
      <x:c r="K37" s="11" t="str">
        <x:v>A. Davis</x:v>
      </x:c>
      <x:c r="L37" s="11" t="str">
        <x:v>Pending supporting documentation</x:v>
      </x:c>
    </x:row>
    <x:row r="38">
      <x:c r="A38" s="14" t="n">
        <x:v>46210</x:v>
      </x:c>
      <x:c r="B38" s="11" t="str">
        <x:v>REC-1037</x:v>
      </x:c>
      <x:c r="C38" s="11" t="str">
        <x:v>Team Alpha</x:v>
      </x:c>
      <x:c r="D38" s="11" t="str">
        <x:v>Medical</x:v>
      </x:c>
      <x:c r="E38" s="16" t="n">
        <x:v>46210.34652777778</x:v>
      </x:c>
      <x:c r="F38" s="16" t="n">
        <x:v>46210.35277777778</x:v>
      </x:c>
      <x:c r="G38" s="11" t="n">
        <x:f>ROUND((F38-E38)*1440,0)</x:f>
        <x:v>9</x:v>
      </x:c>
      <x:c r="H38" s="11" t="str">
        <x:v>Delayed</x:v>
      </x:c>
      <x:c r="I38" s="18" t="n">
        <x:v>80</x:v>
      </x:c>
      <x:c r="J38" s="11" t="str">
        <x:f>IF(G38&lt;=15,"Yes","No")</x:f>
        <x:v>Yes</x:v>
      </x:c>
      <x:c r="K38" s="11" t="str">
        <x:v>R. Lee</x:v>
      </x:c>
      <x:c r="L38" s="11" t="str">
        <x:v>Corrected missing field</x:v>
      </x:c>
    </x:row>
    <x:row r="39">
      <x:c r="A39" s="14" t="n">
        <x:v>46211</x:v>
      </x:c>
      <x:c r="B39" s="11" t="str">
        <x:v>REC-1038</x:v>
      </x:c>
      <x:c r="C39" s="11" t="str">
        <x:v>Team Bravo</x:v>
      </x:c>
      <x:c r="D39" s="11" t="str">
        <x:v>Personnel</x:v>
      </x:c>
      <x:c r="E39" s="16" t="n">
        <x:v>46211.47638888889</x:v>
      </x:c>
      <x:c r="F39" s="16" t="n">
        <x:v>46211.47430555556</x:v>
      </x:c>
      <x:c r="G39" s="11" t="n">
        <x:f>ROUND((F39-E39)*1440,0)</x:f>
        <x:v>-3</x:v>
      </x:c>
      <x:c r="H39" s="11" t="str">
        <x:v>Needs Review</x:v>
      </x:c>
      <x:c r="I39" s="18" t="n">
        <x:v>84</x:v>
      </x:c>
      <x:c r="J39" s="11" t="str">
        <x:f>IF(G39&lt;=15,"Yes","No")</x:f>
        <x:v>Yes</x:v>
      </x:c>
      <x:c r="K39" s="11" t="str">
        <x:v>M. Carter</x:v>
      </x:c>
      <x:c r="L39" s="11" t="str">
        <x:v>Pending supporting documentation</x:v>
      </x:c>
    </x:row>
    <x:row r="40">
      <x:c r="A40" s="14" t="n">
        <x:v>46212</x:v>
      </x:c>
      <x:c r="B40" s="11" t="str">
        <x:v>REC-1039</x:v>
      </x:c>
      <x:c r="C40" s="11" t="str">
        <x:v>Team Charlie</x:v>
      </x:c>
      <x:c r="D40" s="11" t="str">
        <x:v>Logistics</x:v>
      </x:c>
      <x:c r="E40" s="16" t="n">
        <x:v>46212.60625</x:v>
      </x:c>
      <x:c r="F40" s="16" t="n">
        <x:v>46212.62569444445</x:v>
      </x:c>
      <x:c r="G40" s="11" t="n">
        <x:f>ROUND((F40-E40)*1440,0)</x:f>
        <x:v>28</x:v>
      </x:c>
      <x:c r="H40" s="11" t="str">
        <x:v>Complete</x:v>
      </x:c>
      <x:c r="I40" s="18" t="n">
        <x:v>90</x:v>
      </x:c>
      <x:c r="J40" s="11" t="str">
        <x:f>IF(G40&lt;=15,"Yes","No")</x:f>
        <x:v>No</x:v>
      </x:c>
      <x:c r="K40" s="11" t="str">
        <x:v>J. Smith</x:v>
      </x:c>
      <x:c r="L40" s="11" t="str">
        <x:v>Reviewed with team lead</x:v>
      </x:c>
    </x:row>
    <x:row r="41">
      <x:c r="A41" s="14" t="n">
        <x:v>46213</x:v>
      </x:c>
      <x:c r="B41" s="11" t="str">
        <x:v>REC-1040</x:v>
      </x:c>
      <x:c r="C41" s="11" t="str">
        <x:v>Operations</x:v>
      </x:c>
      <x:c r="D41" s="11" t="str">
        <x:v>Medical</x:v>
      </x:c>
      <x:c r="E41" s="16" t="n">
        <x:v>46213.319444444445</x:v>
      </x:c>
      <x:c r="F41" s="16" t="n">
        <x:v>46213.32083333333</x:v>
      </x:c>
      <x:c r="G41" s="11" t="n">
        <x:f>ROUND((F41-E41)*1440,0)</x:f>
        <x:v>2</x:v>
      </x:c>
      <x:c r="H41" s="11" t="str">
        <x:v>Complete</x:v>
      </x:c>
      <x:c r="I41" s="18" t="n">
        <x:v>100</x:v>
      </x:c>
      <x:c r="J41" s="11" t="str">
        <x:f>IF(G41&lt;=15,"Yes","No")</x:f>
        <x:v>Yes</x:v>
      </x:c>
      <x:c r="K41" s="11" t="str">
        <x:v>A. Davis</x:v>
      </x:c>
      <x:c r="L41" s="11" t="str">
        <x:v>Corrected missing field</x:v>
      </x:c>
    </x:row>
    <x:row r="42">
      <x:c r="A42" s="14" t="n">
        <x:v>46214</x:v>
      </x:c>
      <x:c r="B42" s="11" t="str">
        <x:v>REC-1041</x:v>
      </x:c>
      <x:c r="C42" s="11" t="str">
        <x:v>Support</x:v>
      </x:c>
      <x:c r="D42" s="11" t="str">
        <x:v>Personnel</x:v>
      </x:c>
      <x:c r="E42" s="16" t="n">
        <x:v>46214.44930555556</x:v>
      </x:c>
      <x:c r="F42" s="16" t="n">
        <x:v>46214.44375</x:v>
      </x:c>
      <x:c r="G42" s="11" t="n">
        <x:f>ROUND((F42-E42)*1440,0)</x:f>
        <x:v>-8</x:v>
      </x:c>
      <x:c r="H42" s="11" t="str">
        <x:v>Complete</x:v>
      </x:c>
      <x:c r="I42" s="18" t="n">
        <x:v>95</x:v>
      </x:c>
      <x:c r="J42" s="11" t="str">
        <x:f>IF(G42&lt;=15,"Yes","No")</x:f>
        <x:v>Yes</x:v>
      </x:c>
      <x:c r="K42" s="11" t="str">
        <x:v>R. Lee</x:v>
      </x:c>
      <x:c r="L42" s="11" t="str">
        <x:v>Validated against source record</x:v>
      </x:c>
    </x:row>
    <x:row r="43">
      <x:c r="A43" s="14" t="n">
        <x:v>46215</x:v>
      </x:c>
      <x:c r="B43" s="11" t="str">
        <x:v>REC-1042</x:v>
      </x:c>
      <x:c r="C43" s="11" t="str">
        <x:v>Finance</x:v>
      </x:c>
      <x:c r="D43" s="11" t="str">
        <x:v>Logistics</x:v>
      </x:c>
      <x:c r="E43" s="16" t="n">
        <x:v>46215.57916666667</x:v>
      </x:c>
      <x:c r="F43" s="16" t="n">
        <x:v>46215.57708333333</x:v>
      </x:c>
      <x:c r="G43" s="11" t="n">
        <x:f>ROUND((F43-E43)*1440,0)</x:f>
        <x:v>-3</x:v>
      </x:c>
      <x:c r="H43" s="11" t="str">
        <x:v>Needs Review</x:v>
      </x:c>
      <x:c r="I43" s="18" t="n">
        <x:v>84</x:v>
      </x:c>
      <x:c r="J43" s="11" t="str">
        <x:f>IF(G43&lt;=15,"Yes","No")</x:f>
        <x:v>Yes</x:v>
      </x:c>
      <x:c r="K43" s="11" t="str">
        <x:v>M. Carter</x:v>
      </x:c>
      <x:c r="L43" s="11" t="str">
        <x:v>Follow-up required</x:v>
      </x:c>
    </x:row>
    <x:row r="44">
      <x:c r="A44" s="14" t="n">
        <x:v>46216</x:v>
      </x:c>
      <x:c r="B44" s="11" t="str">
        <x:v>REC-1043</x:v>
      </x:c>
      <x:c r="C44" s="11" t="str">
        <x:v>Team Alpha</x:v>
      </x:c>
      <x:c r="D44" s="11" t="str">
        <x:v>Medical</x:v>
      </x:c>
      <x:c r="E44" s="16" t="n">
        <x:v>46216.66736111111</x:v>
      </x:c>
      <x:c r="F44" s="16" t="n">
        <x:v>46216.66180555556</x:v>
      </x:c>
      <x:c r="G44" s="11" t="n">
        <x:f>ROUND((F44-E44)*1440,0)</x:f>
        <x:v>-8</x:v>
      </x:c>
      <x:c r="H44" s="11" t="str">
        <x:v>Complete</x:v>
      </x:c>
      <x:c r="I44" s="18" t="n">
        <x:v>97</x:v>
      </x:c>
      <x:c r="J44" s="11" t="str">
        <x:f>IF(G44&lt;=15,"Yes","No")</x:f>
        <x:v>Yes</x:v>
      </x:c>
      <x:c r="K44" s="11" t="str">
        <x:v>J. Smith</x:v>
      </x:c>
      <x:c r="L44" s="11" t="str">
        <x:v>Validated against source record</x:v>
      </x:c>
    </x:row>
    <x:row r="45">
      <x:c r="A45" s="14" t="n">
        <x:v>46217</x:v>
      </x:c>
      <x:c r="B45" s="11" t="str">
        <x:v>REC-1044</x:v>
      </x:c>
      <x:c r="C45" s="11" t="str">
        <x:v>Team Bravo</x:v>
      </x:c>
      <x:c r="D45" s="11" t="str">
        <x:v>Personnel</x:v>
      </x:c>
      <x:c r="E45" s="16" t="n">
        <x:v>46217.38055555556</x:v>
      </x:c>
      <x:c r="F45" s="16" t="n">
        <x:v>46217.37847222222</x:v>
      </x:c>
      <x:c r="G45" s="11" t="n">
        <x:f>ROUND((F45-E45)*1440,0)</x:f>
        <x:v>-3</x:v>
      </x:c>
      <x:c r="H45" s="11" t="str">
        <x:v>In Progress</x:v>
      </x:c>
      <x:c r="I45" s="18" t="n">
        <x:v>77</x:v>
      </x:c>
      <x:c r="J45" s="11" t="str">
        <x:f>IF(G45&lt;=15,"Yes","No")</x:f>
        <x:v>Yes</x:v>
      </x:c>
      <x:c r="K45" s="11" t="str">
        <x:v>A. Davis</x:v>
      </x:c>
      <x:c r="L45" s="11" t="str">
        <x:v>Corrected missing field</x:v>
      </x:c>
    </x:row>
    <x:row r="46">
      <x:c r="A46" s="14" t="n">
        <x:v>46218</x:v>
      </x:c>
      <x:c r="B46" s="11" t="str">
        <x:v>REC-1045</x:v>
      </x:c>
      <x:c r="C46" s="11" t="str">
        <x:v>Team Charlie</x:v>
      </x:c>
      <x:c r="D46" s="11" t="str">
        <x:v>Logistics</x:v>
      </x:c>
      <x:c r="E46" s="16" t="n">
        <x:v>46218.510416666664</x:v>
      </x:c>
      <x:c r="F46" s="16" t="n">
        <x:v>46218.51180555556</x:v>
      </x:c>
      <x:c r="G46" s="11" t="n">
        <x:f>ROUND((F46-E46)*1440,0)</x:f>
        <x:v>2</x:v>
      </x:c>
      <x:c r="H46" s="11" t="str">
        <x:v>Complete</x:v>
      </x:c>
      <x:c r="I46" s="18" t="n">
        <x:v>95</x:v>
      </x:c>
      <x:c r="J46" s="11" t="str">
        <x:f>IF(G46&lt;=15,"Yes","No")</x:f>
        <x:v>Yes</x:v>
      </x:c>
      <x:c r="K46" s="11" t="str">
        <x:v>R. Lee</x:v>
      </x:c>
      <x:c r="L46" s="11" t="str">
        <x:v>Corrected missing field</x:v>
      </x:c>
    </x:row>
    <x:row r="47">
      <x:c r="A47" s="14" t="n">
        <x:v>46219</x:v>
      </x:c>
      <x:c r="B47" s="11" t="str">
        <x:v>REC-1046</x:v>
      </x:c>
      <x:c r="C47" s="11" t="str">
        <x:v>Operations</x:v>
      </x:c>
      <x:c r="D47" s="11" t="str">
        <x:v>Medical</x:v>
      </x:c>
      <x:c r="E47" s="16" t="n">
        <x:v>46219.64027777778</x:v>
      </x:c>
      <x:c r="F47" s="16" t="n">
        <x:v>46219.64166666667</x:v>
      </x:c>
      <x:c r="G47" s="11" t="n">
        <x:f>ROUND((F47-E47)*1440,0)</x:f>
        <x:v>2</x:v>
      </x:c>
      <x:c r="H47" s="11" t="str">
        <x:v>Complete</x:v>
      </x:c>
      <x:c r="I47" s="18" t="n">
        <x:v>97</x:v>
      </x:c>
      <x:c r="J47" s="11" t="str">
        <x:f>IF(G47&lt;=15,"Yes","No")</x:f>
        <x:v>Yes</x:v>
      </x:c>
      <x:c r="K47" s="11" t="str">
        <x:v>M. Carter</x:v>
      </x:c>
      <x:c r="L47" s="11" t="str">
        <x:v>No exceptions identified</x:v>
      </x:c>
    </x:row>
    <x:row r="48">
      <x:c r="A48" s="14" t="n">
        <x:v>46220</x:v>
      </x:c>
      <x:c r="B48" s="11" t="str">
        <x:v>REC-1047</x:v>
      </x:c>
      <x:c r="C48" s="11" t="str">
        <x:v>Support</x:v>
      </x:c>
      <x:c r="D48" s="11" t="str">
        <x:v>Personnel</x:v>
      </x:c>
      <x:c r="E48" s="16" t="n">
        <x:v>46220.353472222225</x:v>
      </x:c>
      <x:c r="F48" s="16" t="n">
        <x:v>46220.356944444444</x:v>
      </x:c>
      <x:c r="G48" s="11" t="n">
        <x:f>ROUND((F48-E48)*1440,0)</x:f>
        <x:v>5</x:v>
      </x:c>
      <x:c r="H48" s="11" t="str">
        <x:v>Needs Review</x:v>
      </x:c>
      <x:c r="I48" s="18" t="n">
        <x:v>81</x:v>
      </x:c>
      <x:c r="J48" s="11" t="str">
        <x:f>IF(G48&lt;=15,"Yes","No")</x:f>
        <x:v>Yes</x:v>
      </x:c>
      <x:c r="K48" s="11" t="str">
        <x:v>J. Smith</x:v>
      </x:c>
      <x:c r="L48" s="11" t="str">
        <x:v>Pending supporting documentation</x:v>
      </x:c>
    </x:row>
    <x:row r="49">
      <x:c r="A49" s="14" t="n">
        <x:v>46221</x:v>
      </x:c>
      <x:c r="B49" s="11" t="str">
        <x:v>REC-1048</x:v>
      </x:c>
      <x:c r="C49" s="11" t="str">
        <x:v>Finance</x:v>
      </x:c>
      <x:c r="D49" s="11" t="str">
        <x:v>Logistics</x:v>
      </x:c>
      <x:c r="E49" s="16" t="n">
        <x:v>46221.48333333333</x:v>
      </x:c>
      <x:c r="F49" s="16" t="n">
        <x:v>46221.489583333336</x:v>
      </x:c>
      <x:c r="G49" s="11" t="n">
        <x:f>ROUND((F49-E49)*1440,0)</x:f>
        <x:v>9</x:v>
      </x:c>
      <x:c r="H49" s="11" t="str">
        <x:v>Complete</x:v>
      </x:c>
      <x:c r="I49" s="18" t="n">
        <x:v>98</x:v>
      </x:c>
      <x:c r="J49" s="11" t="str">
        <x:f>IF(G49&lt;=15,"Yes","No")</x:f>
        <x:v>Yes</x:v>
      </x:c>
      <x:c r="K49" s="11" t="str">
        <x:v>A. Davis</x:v>
      </x:c>
      <x:c r="L49" s="11" t="str">
        <x:v>Pending supporting documentation</x:v>
      </x:c>
    </x:row>
    <x:row r="50">
      <x:c r="A50" s="14" t="n">
        <x:v>46222</x:v>
      </x:c>
      <x:c r="B50" s="11" t="str">
        <x:v>REC-1049</x:v>
      </x:c>
      <x:c r="C50" s="11" t="str">
        <x:v>Team Alpha</x:v>
      </x:c>
      <x:c r="D50" s="11" t="str">
        <x:v>Medical</x:v>
      </x:c>
      <x:c r="E50" s="16" t="n">
        <x:v>46222.61319444444</x:v>
      </x:c>
      <x:c r="F50" s="16" t="n">
        <x:v>46222.62152777778</x:v>
      </x:c>
      <x:c r="G50" s="11" t="n">
        <x:f>ROUND((F50-E50)*1440,0)</x:f>
        <x:v>12</x:v>
      </x:c>
      <x:c r="H50" s="11" t="str">
        <x:v>Complete</x:v>
      </x:c>
      <x:c r="I50" s="18" t="n">
        <x:v>96</x:v>
      </x:c>
      <x:c r="J50" s="11" t="str">
        <x:f>IF(G50&lt;=15,"Yes","No")</x:f>
        <x:v>Yes</x:v>
      </x:c>
      <x:c r="K50" s="11" t="str">
        <x:v>R. Lee</x:v>
      </x:c>
      <x:c r="L50" s="11" t="str">
        <x:v>No exceptions identified</x:v>
      </x:c>
    </x:row>
    <x:row r="51">
      <x:c r="A51" s="14" t="n">
        <x:v>46223</x:v>
      </x:c>
      <x:c r="B51" s="11" t="str">
        <x:v>REC-1050</x:v>
      </x:c>
      <x:c r="C51" s="11" t="str">
        <x:v>Team Bravo</x:v>
      </x:c>
      <x:c r="D51" s="11" t="str">
        <x:v>Personnel</x:v>
      </x:c>
      <x:c r="E51" s="16" t="n">
        <x:v>46223.32638888889</x:v>
      </x:c>
      <x:c r="F51" s="16" t="n">
        <x:v>46223.32430555556</x:v>
      </x:c>
      <x:c r="G51" s="11" t="n">
        <x:f>ROUND((F51-E51)*1440,0)</x:f>
        <x:v>-3</x:v>
      </x:c>
      <x:c r="H51" s="11" t="str">
        <x:v>Complete</x:v>
      </x:c>
      <x:c r="I51" s="18" t="n">
        <x:v>89</x:v>
      </x:c>
      <x:c r="J51" s="11" t="str">
        <x:f>IF(G51&lt;=15,"Yes","No")</x:f>
        <x:v>Yes</x:v>
      </x:c>
      <x:c r="K51" s="11" t="str">
        <x:v>M. Carter</x:v>
      </x:c>
      <x:c r="L51" s="11" t="str">
        <x:v>Reviewed with team lead</x:v>
      </x:c>
    </x:row>
    <x:row r="52">
      <x:c r="A52" s="14" t="n">
        <x:v>46224</x:v>
      </x:c>
      <x:c r="B52" s="11" t="str">
        <x:v>REC-1051</x:v>
      </x:c>
      <x:c r="C52" s="11" t="str">
        <x:v>Team Charlie</x:v>
      </x:c>
      <x:c r="D52" s="11" t="str">
        <x:v>Logistics</x:v>
      </x:c>
      <x:c r="E52" s="16" t="n">
        <x:v>46224.45625</x:v>
      </x:c>
      <x:c r="F52" s="16" t="n">
        <x:v>46224.450694444444</x:v>
      </x:c>
      <x:c r="G52" s="11" t="n">
        <x:f>ROUND((F52-E52)*1440,0)</x:f>
        <x:v>-8</x:v>
      </x:c>
      <x:c r="H52" s="11" t="str">
        <x:v>Complete</x:v>
      </x:c>
      <x:c r="I52" s="18" t="n">
        <x:v>91</x:v>
      </x:c>
      <x:c r="J52" s="11" t="str">
        <x:f>IF(G52&lt;=15,"Yes","No")</x:f>
        <x:v>Yes</x:v>
      </x:c>
      <x:c r="K52" s="11" t="str">
        <x:v>J. Smith</x:v>
      </x:c>
      <x:c r="L52" s="11" t="str">
        <x:v>Corrected missing field</x:v>
      </x:c>
    </x:row>
    <x:row r="53">
      <x:c r="A53" s="14" t="n">
        <x:v>46225</x:v>
      </x:c>
      <x:c r="B53" s="11" t="str">
        <x:v>REC-1052</x:v>
      </x:c>
      <x:c r="C53" s="11" t="str">
        <x:v>Operations</x:v>
      </x:c>
      <x:c r="D53" s="11" t="str">
        <x:v>Medical</x:v>
      </x:c>
      <x:c r="E53" s="16" t="n">
        <x:v>46225.544444444444</x:v>
      </x:c>
      <x:c r="F53" s="16" t="n">
        <x:v>46225.54791666667</x:v>
      </x:c>
      <x:c r="G53" s="11" t="n">
        <x:f>ROUND((F53-E53)*1440,0)</x:f>
        <x:v>5</x:v>
      </x:c>
      <x:c r="H53" s="11" t="str">
        <x:v>Complete</x:v>
      </x:c>
      <x:c r="I53" s="18" t="n">
        <x:v>99</x:v>
      </x:c>
      <x:c r="J53" s="11" t="str">
        <x:f>IF(G53&lt;=15,"Yes","No")</x:f>
        <x:v>Yes</x:v>
      </x:c>
      <x:c r="K53" s="11" t="str">
        <x:v>A. Davis</x:v>
      </x:c>
      <x:c r="L53" s="11" t="str">
        <x:v>Pending supporting documentation</x:v>
      </x:c>
    </x:row>
    <x:row r="54">
      <x:c r="A54" s="14" t="n">
        <x:v>46226</x:v>
      </x:c>
      <x:c r="B54" s="11" t="str">
        <x:v>REC-1053</x:v>
      </x:c>
      <x:c r="C54" s="11" t="str">
        <x:v>Support</x:v>
      </x:c>
      <x:c r="D54" s="11" t="str">
        <x:v>Personnel</x:v>
      </x:c>
      <x:c r="E54" s="16" t="n">
        <x:v>46226.674305555556</x:v>
      </x:c>
      <x:c r="F54" s="16" t="n">
        <x:v>46226.66875</x:v>
      </x:c>
      <x:c r="G54" s="11" t="n">
        <x:f>ROUND((F54-E54)*1440,0)</x:f>
        <x:v>-8</x:v>
      </x:c>
      <x:c r="H54" s="11" t="str">
        <x:v>Complete</x:v>
      </x:c>
      <x:c r="I54" s="18" t="n">
        <x:v>88</x:v>
      </x:c>
      <x:c r="J54" s="11" t="str">
        <x:f>IF(G54&lt;=15,"Yes","No")</x:f>
        <x:v>Yes</x:v>
      </x:c>
      <x:c r="K54" s="11" t="str">
        <x:v>R. Lee</x:v>
      </x:c>
      <x:c r="L54" s="11" t="str">
        <x:v>Reviewed with team lead</x:v>
      </x:c>
    </x:row>
    <x:row r="55">
      <x:c r="A55" s="14" t="n">
        <x:v>46227</x:v>
      </x:c>
      <x:c r="B55" s="11" t="str">
        <x:v>REC-1054</x:v>
      </x:c>
      <x:c r="C55" s="11" t="str">
        <x:v>Finance</x:v>
      </x:c>
      <x:c r="D55" s="11" t="str">
        <x:v>Logistics</x:v>
      </x:c>
      <x:c r="E55" s="16" t="n">
        <x:v>46227.3875</x:v>
      </x:c>
      <x:c r="F55" s="16" t="n">
        <x:v>46227.385416666664</x:v>
      </x:c>
      <x:c r="G55" s="11" t="n">
        <x:f>ROUND((F55-E55)*1440,0)</x:f>
        <x:v>-3</x:v>
      </x:c>
      <x:c r="H55" s="11" t="str">
        <x:v>Complete</x:v>
      </x:c>
      <x:c r="I55" s="18" t="n">
        <x:v>92</x:v>
      </x:c>
      <x:c r="J55" s="11" t="str">
        <x:f>IF(G55&lt;=15,"Yes","No")</x:f>
        <x:v>Yes</x:v>
      </x:c>
      <x:c r="K55" s="11" t="str">
        <x:v>M. Carter</x:v>
      </x:c>
      <x:c r="L55" s="11" t="str">
        <x:v>Pending supporting documentation</x:v>
      </x:c>
    </x:row>
    <x:row r="56">
      <x:c r="A56" s="14" t="n">
        <x:v>46228</x:v>
      </x:c>
      <x:c r="B56" s="11" t="str">
        <x:v>REC-1055</x:v>
      </x:c>
      <x:c r="C56" s="11" t="str">
        <x:v>Team Alpha</x:v>
      </x:c>
      <x:c r="D56" s="11" t="str">
        <x:v>Medical</x:v>
      </x:c>
      <x:c r="E56" s="16" t="n">
        <x:v>46228.51736111111</x:v>
      </x:c>
      <x:c r="F56" s="16" t="n">
        <x:v>46228.53194444445</x:v>
      </x:c>
      <x:c r="G56" s="11" t="n">
        <x:f>ROUND((F56-E56)*1440,0)</x:f>
        <x:v>21</x:v>
      </x:c>
      <x:c r="H56" s="11" t="str">
        <x:v>Complete</x:v>
      </x:c>
      <x:c r="I56" s="18" t="n">
        <x:v>90</x:v>
      </x:c>
      <x:c r="J56" s="11" t="str">
        <x:f>IF(G56&lt;=15,"Yes","No")</x:f>
        <x:v>No</x:v>
      </x:c>
      <x:c r="K56" s="11" t="str">
        <x:v>J. Smith</x:v>
      </x:c>
      <x:c r="L56" s="11" t="str">
        <x:v>Pending supporting documentation</x:v>
      </x:c>
    </x:row>
    <x:row r="57">
      <x:c r="A57" s="14" t="n">
        <x:v>46229</x:v>
      </x:c>
      <x:c r="B57" s="11" t="str">
        <x:v>REC-1056</x:v>
      </x:c>
      <x:c r="C57" s="11" t="str">
        <x:v>Team Bravo</x:v>
      </x:c>
      <x:c r="D57" s="11" t="str">
        <x:v>Personnel</x:v>
      </x:c>
      <x:c r="E57" s="16" t="n">
        <x:v>46229.64722222222</x:v>
      </x:c>
      <x:c r="F57" s="16" t="n">
        <x:v>46229.67152777778</x:v>
      </x:c>
      <x:c r="G57" s="11" t="n">
        <x:f>ROUND((F57-E57)*1440,0)</x:f>
        <x:v>35</x:v>
      </x:c>
      <x:c r="H57" s="11" t="str">
        <x:v>Complete</x:v>
      </x:c>
      <x:c r="I57" s="18" t="n">
        <x:v>91</x:v>
      </x:c>
      <x:c r="J57" s="11" t="str">
        <x:f>IF(G57&lt;=15,"Yes","No")</x:f>
        <x:v>No</x:v>
      </x:c>
      <x:c r="K57" s="11" t="str">
        <x:v>A. Davis</x:v>
      </x:c>
      <x:c r="L57" s="11" t="str">
        <x:v>No exceptions identified</x:v>
      </x:c>
    </x:row>
    <x:row r="58">
      <x:c r="A58" s="14" t="n">
        <x:v>46230</x:v>
      </x:c>
      <x:c r="B58" s="11" t="str">
        <x:v>REC-1057</x:v>
      </x:c>
      <x:c r="C58" s="11" t="str">
        <x:v>Team Charlie</x:v>
      </x:c>
      <x:c r="D58" s="11" t="str">
        <x:v>Logistics</x:v>
      </x:c>
      <x:c r="E58" s="16" t="n">
        <x:v>46230.36041666667</x:v>
      </x:c>
      <x:c r="F58" s="16" t="n">
        <x:v>46230.37152777778</x:v>
      </x:c>
      <x:c r="G58" s="11" t="n">
        <x:f>ROUND((F58-E58)*1440,0)</x:f>
        <x:v>16</x:v>
      </x:c>
      <x:c r="H58" s="11" t="str">
        <x:v>Complete</x:v>
      </x:c>
      <x:c r="I58" s="18" t="n">
        <x:v>89</x:v>
      </x:c>
      <x:c r="J58" s="11" t="str">
        <x:f>IF(G58&lt;=15,"Yes","No")</x:f>
        <x:v>No</x:v>
      </x:c>
      <x:c r="K58" s="11" t="str">
        <x:v>R. Lee</x:v>
      </x:c>
      <x:c r="L58" s="11" t="str">
        <x:v>Pending supporting documentation</x:v>
      </x:c>
    </x:row>
    <x:row r="59">
      <x:c r="A59" s="14" t="n">
        <x:v>46231</x:v>
      </x:c>
      <x:c r="B59" s="11" t="str">
        <x:v>REC-1058</x:v>
      </x:c>
      <x:c r="C59" s="11" t="str">
        <x:v>Operations</x:v>
      </x:c>
      <x:c r="D59" s="11" t="str">
        <x:v>Medical</x:v>
      </x:c>
      <x:c r="E59" s="16" t="n">
        <x:v>46231.490277777775</x:v>
      </x:c>
      <x:c r="F59" s="16" t="n">
        <x:v>46231.501388888886</x:v>
      </x:c>
      <x:c r="G59" s="11" t="n">
        <x:f>ROUND((F59-E59)*1440,0)</x:f>
        <x:v>16</x:v>
      </x:c>
      <x:c r="H59" s="11" t="str">
        <x:v>Complete</x:v>
      </x:c>
      <x:c r="I59" s="18" t="n">
        <x:v>94</x:v>
      </x:c>
      <x:c r="J59" s="11" t="str">
        <x:f>IF(G59&lt;=15,"Yes","No")</x:f>
        <x:v>No</x:v>
      </x:c>
      <x:c r="K59" s="11" t="str">
        <x:v>M. Carter</x:v>
      </x:c>
      <x:c r="L59" s="11" t="str">
        <x:v>No exceptions identified</x:v>
      </x:c>
    </x:row>
    <x:row r="60">
      <x:c r="A60" s="14" t="n">
        <x:v>46232</x:v>
      </x:c>
      <x:c r="B60" s="11" t="str">
        <x:v>REC-1059</x:v>
      </x:c>
      <x:c r="C60" s="11" t="str">
        <x:v>Support</x:v>
      </x:c>
      <x:c r="D60" s="11" t="str">
        <x:v>Personnel</x:v>
      </x:c>
      <x:c r="E60" s="16" t="n">
        <x:v>46232.62013888889</x:v>
      </x:c>
      <x:c r="F60" s="16" t="n">
        <x:v>46232.614583333336</x:v>
      </x:c>
      <x:c r="G60" s="11" t="n">
        <x:f>ROUND((F60-E60)*1440,0)</x:f>
        <x:v>-8</x:v>
      </x:c>
      <x:c r="H60" s="11" t="str">
        <x:v>In Progress</x:v>
      </x:c>
      <x:c r="I60" s="18" t="n">
        <x:v>95</x:v>
      </x:c>
      <x:c r="J60" s="11" t="str">
        <x:f>IF(G60&lt;=15,"Yes","No")</x:f>
        <x:v>Yes</x:v>
      </x:c>
      <x:c r="K60" s="11" t="str">
        <x:v>J. Smith</x:v>
      </x:c>
      <x:c r="L60" s="11" t="str">
        <x:v>Validated against source record</x:v>
      </x:c>
    </x:row>
    <x:row r="61">
      <x:c r="A61" s="14" t="n">
        <x:v>46233</x:v>
      </x:c>
      <x:c r="B61" s="11" t="str">
        <x:v>REC-1060</x:v>
      </x:c>
      <x:c r="C61" s="11" t="str">
        <x:v>Finance</x:v>
      </x:c>
      <x:c r="D61" s="11" t="str">
        <x:v>Logistics</x:v>
      </x:c>
      <x:c r="E61" s="16" t="n">
        <x:v>46233.291666666664</x:v>
      </x:c>
      <x:c r="F61" s="16" t="n">
        <x:v>46233.28611111111</x:v>
      </x:c>
      <x:c r="G61" s="11" t="n">
        <x:f>ROUND((F61-E61)*1440,0)</x:f>
        <x:v>-8</x:v>
      </x:c>
      <x:c r="H61" s="11" t="str">
        <x:v>Complete</x:v>
      </x:c>
      <x:c r="I61" s="18" t="n">
        <x:v>93</x:v>
      </x:c>
      <x:c r="J61" s="11" t="str">
        <x:f>IF(G61&lt;=15,"Yes","No")</x:f>
        <x:v>Yes</x:v>
      </x:c>
      <x:c r="K61" s="11" t="str">
        <x:v>A. Davis</x:v>
      </x:c>
      <x:c r="L61" s="11" t="str">
        <x:v>Validated against source record</x:v>
      </x:c>
    </x:row>
    <x:row r="62">
      <x:c r="A62" s="14" t="n">
        <x:v>46204</x:v>
      </x:c>
      <x:c r="B62" s="11" t="str">
        <x:v>REC-1061</x:v>
      </x:c>
      <x:c r="C62" s="11" t="str">
        <x:v>Team Alpha</x:v>
      </x:c>
      <x:c r="D62" s="11" t="str">
        <x:v>Medical</x:v>
      </x:c>
      <x:c r="E62" s="16" t="n">
        <x:v>46204.42152777778</x:v>
      </x:c>
      <x:c r="F62" s="16" t="n">
        <x:v>46204.425</x:v>
      </x:c>
      <x:c r="G62" s="11" t="n">
        <x:f>ROUND((F62-E62)*1440,0)</x:f>
        <x:v>5</x:v>
      </x:c>
      <x:c r="H62" s="11" t="str">
        <x:v>Complete</x:v>
      </x:c>
      <x:c r="I62" s="18" t="n">
        <x:v>96</x:v>
      </x:c>
      <x:c r="J62" s="11" t="str">
        <x:f>IF(G62&lt;=15,"Yes","No")</x:f>
        <x:v>Yes</x:v>
      </x:c>
      <x:c r="K62" s="11" t="str">
        <x:v>R. Lee</x:v>
      </x:c>
      <x:c r="L62" s="11" t="str">
        <x:v>No exceptions identified</x:v>
      </x:c>
    </x:row>
    <x:row r="63">
      <x:c r="A63" s="14" t="n">
        <x:v>46205</x:v>
      </x:c>
      <x:c r="B63" s="11" t="str">
        <x:v>REC-1062</x:v>
      </x:c>
      <x:c r="C63" s="11" t="str">
        <x:v>Team Bravo</x:v>
      </x:c>
      <x:c r="D63" s="11" t="str">
        <x:v>Personnel</x:v>
      </x:c>
      <x:c r="E63" s="16" t="n">
        <x:v>46205.55138888889</x:v>
      </x:c>
      <x:c r="F63" s="16" t="n">
        <x:v>46205.552777777775</x:v>
      </x:c>
      <x:c r="G63" s="11" t="n">
        <x:f>ROUND((F63-E63)*1440,0)</x:f>
        <x:v>2</x:v>
      </x:c>
      <x:c r="H63" s="11" t="str">
        <x:v>Complete</x:v>
      </x:c>
      <x:c r="I63" s="18" t="n">
        <x:v>92</x:v>
      </x:c>
      <x:c r="J63" s="11" t="str">
        <x:f>IF(G63&lt;=15,"Yes","No")</x:f>
        <x:v>Yes</x:v>
      </x:c>
      <x:c r="K63" s="11" t="str">
        <x:v>M. Carter</x:v>
      </x:c>
      <x:c r="L63" s="11" t="str">
        <x:v>No exceptions identified</x:v>
      </x:c>
    </x:row>
    <x:row r="64">
      <x:c r="A64" s="14" t="n">
        <x:v>46206</x:v>
      </x:c>
      <x:c r="B64" s="11" t="str">
        <x:v>REC-1063</x:v>
      </x:c>
      <x:c r="C64" s="11" t="str">
        <x:v>Team Charlie</x:v>
      </x:c>
      <x:c r="D64" s="11" t="str">
        <x:v>Logistics</x:v>
      </x:c>
      <x:c r="E64" s="16" t="n">
        <x:v>46206.68125</x:v>
      </x:c>
      <x:c r="F64" s="16" t="n">
        <x:v>46206.68472222222</x:v>
      </x:c>
      <x:c r="G64" s="11" t="n">
        <x:f>ROUND((F64-E64)*1440,0)</x:f>
        <x:v>5</x:v>
      </x:c>
      <x:c r="H64" s="11" t="str">
        <x:v>Needs Review</x:v>
      </x:c>
      <x:c r="I64" s="18" t="n">
        <x:v>77</x:v>
      </x:c>
      <x:c r="J64" s="11" t="str">
        <x:f>IF(G64&lt;=15,"Yes","No")</x:f>
        <x:v>Yes</x:v>
      </x:c>
      <x:c r="K64" s="11" t="str">
        <x:v>J. Smith</x:v>
      </x:c>
      <x:c r="L64" s="11" t="str">
        <x:v>No exceptions identified</x:v>
      </x:c>
    </x:row>
    <x:row r="65">
      <x:c r="A65" s="14" t="n">
        <x:v>46207</x:v>
      </x:c>
      <x:c r="B65" s="11" t="str">
        <x:v>REC-1064</x:v>
      </x:c>
      <x:c r="C65" s="11" t="str">
        <x:v>Operations</x:v>
      </x:c>
      <x:c r="D65" s="11" t="str">
        <x:v>Medical</x:v>
      </x:c>
      <x:c r="E65" s="16" t="n">
        <x:v>46207.39444444444</x:v>
      </x:c>
      <x:c r="F65" s="16" t="n">
        <x:v>46207.41388888889</x:v>
      </x:c>
      <x:c r="G65" s="11" t="n">
        <x:f>ROUND((F65-E65)*1440,0)</x:f>
        <x:v>28</x:v>
      </x:c>
      <x:c r="H65" s="11" t="str">
        <x:v>Complete</x:v>
      </x:c>
      <x:c r="I65" s="18" t="n">
        <x:v>98</x:v>
      </x:c>
      <x:c r="J65" s="11" t="str">
        <x:f>IF(G65&lt;=15,"Yes","No")</x:f>
        <x:v>No</x:v>
      </x:c>
      <x:c r="K65" s="11" t="str">
        <x:v>A. Davis</x:v>
      </x:c>
      <x:c r="L65" s="11" t="str">
        <x:v>Corrected missing field</x:v>
      </x:c>
    </x:row>
    <x:row r="66">
      <x:c r="A66" s="14" t="n">
        <x:v>46208</x:v>
      </x:c>
      <x:c r="B66" s="11" t="str">
        <x:v>REC-1065</x:v>
      </x:c>
      <x:c r="C66" s="11" t="str">
        <x:v>Support</x:v>
      </x:c>
      <x:c r="D66" s="11" t="str">
        <x:v>Personnel</x:v>
      </x:c>
      <x:c r="E66" s="16" t="n">
        <x:v>46208.524305555555</x:v>
      </x:c>
      <x:c r="F66" s="16" t="n">
        <x:v>46208.51875</x:v>
      </x:c>
      <x:c r="G66" s="11" t="n">
        <x:f>ROUND((F66-E66)*1440,0)</x:f>
        <x:v>-8</x:v>
      </x:c>
      <x:c r="H66" s="11" t="str">
        <x:v>Delayed</x:v>
      </x:c>
      <x:c r="I66" s="18" t="n">
        <x:v>82</x:v>
      </x:c>
      <x:c r="J66" s="11" t="str">
        <x:f>IF(G66&lt;=15,"Yes","No")</x:f>
        <x:v>Yes</x:v>
      </x:c>
      <x:c r="K66" s="11" t="str">
        <x:v>R. Lee</x:v>
      </x:c>
      <x:c r="L66" s="11" t="str">
        <x:v>Follow-up required</x:v>
      </x:c>
    </x:row>
    <x:row r="67">
      <x:c r="A67" s="14" t="n">
        <x:v>46209</x:v>
      </x:c>
      <x:c r="B67" s="11" t="str">
        <x:v>REC-1066</x:v>
      </x:c>
      <x:c r="C67" s="11" t="str">
        <x:v>Finance</x:v>
      </x:c>
      <x:c r="D67" s="11" t="str">
        <x:v>Logistics</x:v>
      </x:c>
      <x:c r="E67" s="16" t="n">
        <x:v>46209.65416666667</x:v>
      </x:c>
      <x:c r="F67" s="16" t="n">
        <x:v>46209.66527777778</x:v>
      </x:c>
      <x:c r="G67" s="11" t="n">
        <x:f>ROUND((F67-E67)*1440,0)</x:f>
        <x:v>16</x:v>
      </x:c>
      <x:c r="H67" s="11" t="str">
        <x:v>Complete</x:v>
      </x:c>
      <x:c r="I67" s="18" t="n">
        <x:v>91</x:v>
      </x:c>
      <x:c r="J67" s="11" t="str">
        <x:f>IF(G67&lt;=15,"Yes","No")</x:f>
        <x:v>No</x:v>
      </x:c>
      <x:c r="K67" s="11" t="str">
        <x:v>M. Carter</x:v>
      </x:c>
      <x:c r="L67" s="11" t="str">
        <x:v>No exceptions identified</x:v>
      </x:c>
    </x:row>
    <x:row r="68">
      <x:c r="A68" s="14" t="n">
        <x:v>46210</x:v>
      </x:c>
      <x:c r="B68" s="11" t="str">
        <x:v>REC-1067</x:v>
      </x:c>
      <x:c r="C68" s="11" t="str">
        <x:v>Team Alpha</x:v>
      </x:c>
      <x:c r="D68" s="11" t="str">
        <x:v>Medical</x:v>
      </x:c>
      <x:c r="E68" s="16" t="n">
        <x:v>46210.36736111111</x:v>
      </x:c>
      <x:c r="F68" s="16" t="n">
        <x:v>46210.361805555556</x:v>
      </x:c>
      <x:c r="G68" s="11" t="n">
        <x:f>ROUND((F68-E68)*1440,0)</x:f>
        <x:v>-8</x:v>
      </x:c>
      <x:c r="H68" s="11" t="str">
        <x:v>Complete</x:v>
      </x:c>
      <x:c r="I68" s="18" t="n">
        <x:v>88</x:v>
      </x:c>
      <x:c r="J68" s="11" t="str">
        <x:f>IF(G68&lt;=15,"Yes","No")</x:f>
        <x:v>Yes</x:v>
      </x:c>
      <x:c r="K68" s="11" t="str">
        <x:v>J. Smith</x:v>
      </x:c>
      <x:c r="L68" s="11" t="str">
        <x:v>No exceptions identified</x:v>
      </x:c>
    </x:row>
    <x:row r="69">
      <x:c r="A69" s="14" t="n">
        <x:v>46211</x:v>
      </x:c>
      <x:c r="B69" s="11" t="str">
        <x:v>REC-1068</x:v>
      </x:c>
      <x:c r="C69" s="11" t="str">
        <x:v>Team Bravo</x:v>
      </x:c>
      <x:c r="D69" s="11" t="str">
        <x:v>Personnel</x:v>
      </x:c>
      <x:c r="E69" s="16" t="n">
        <x:v>46211.49722222222</x:v>
      </x:c>
      <x:c r="F69" s="16" t="n">
        <x:v>46211.50347222222</x:v>
      </x:c>
      <x:c r="G69" s="11" t="n">
        <x:f>ROUND((F69-E69)*1440,0)</x:f>
        <x:v>9</x:v>
      </x:c>
      <x:c r="H69" s="11" t="str">
        <x:v>Needs Review</x:v>
      </x:c>
      <x:c r="I69" s="18" t="n">
        <x:v>89</x:v>
      </x:c>
      <x:c r="J69" s="11" t="str">
        <x:f>IF(G69&lt;=15,"Yes","No")</x:f>
        <x:v>Yes</x:v>
      </x:c>
      <x:c r="K69" s="11" t="str">
        <x:v>A. Davis</x:v>
      </x:c>
      <x:c r="L69" s="11" t="str">
        <x:v>Reviewed with team lead</x:v>
      </x:c>
    </x:row>
    <x:row r="70">
      <x:c r="A70" s="14" t="n">
        <x:v>46212</x:v>
      </x:c>
      <x:c r="B70" s="11" t="str">
        <x:v>REC-1069</x:v>
      </x:c>
      <x:c r="C70" s="11" t="str">
        <x:v>Team Charlie</x:v>
      </x:c>
      <x:c r="D70" s="11" t="str">
        <x:v>Logistics</x:v>
      </x:c>
      <x:c r="E70" s="16" t="n">
        <x:v>46212.58541666667</x:v>
      </x:c>
      <x:c r="F70" s="16" t="n">
        <x:v>46212.59652777778</x:v>
      </x:c>
      <x:c r="G70" s="11" t="n">
        <x:f>ROUND((F70-E70)*1440,0)</x:f>
        <x:v>16</x:v>
      </x:c>
      <x:c r="H70" s="11" t="str">
        <x:v>In Progress</x:v>
      </x:c>
      <x:c r="I70" s="18" t="n">
        <x:v>92</x:v>
      </x:c>
      <x:c r="J70" s="11" t="str">
        <x:f>IF(G70&lt;=15,"Yes","No")</x:f>
        <x:v>No</x:v>
      </x:c>
      <x:c r="K70" s="11" t="str">
        <x:v>R. Lee</x:v>
      </x:c>
      <x:c r="L70" s="11" t="str">
        <x:v>Pending supporting documentation</x:v>
      </x:c>
    </x:row>
    <x:row r="71">
      <x:c r="A71" s="14" t="n">
        <x:v>46213</x:v>
      </x:c>
      <x:c r="B71" s="11" t="str">
        <x:v>REC-1070</x:v>
      </x:c>
      <x:c r="C71" s="11" t="str">
        <x:v>Operations</x:v>
      </x:c>
      <x:c r="D71" s="11" t="str">
        <x:v>Medical</x:v>
      </x:c>
      <x:c r="E71" s="16" t="n">
        <x:v>46213.29861111111</x:v>
      </x:c>
      <x:c r="F71" s="16" t="n">
        <x:v>46213.31319444445</x:v>
      </x:c>
      <x:c r="G71" s="11" t="n">
        <x:f>ROUND((F71-E71)*1440,0)</x:f>
        <x:v>21</x:v>
      </x:c>
      <x:c r="H71" s="11" t="str">
        <x:v>Complete</x:v>
      </x:c>
      <x:c r="I71" s="18" t="n">
        <x:v>92</x:v>
      </x:c>
      <x:c r="J71" s="11" t="str">
        <x:f>IF(G71&lt;=15,"Yes","No")</x:f>
        <x:v>No</x:v>
      </x:c>
      <x:c r="K71" s="11" t="str">
        <x:v>M. Carter</x:v>
      </x:c>
      <x:c r="L71" s="11" t="str">
        <x:v>Follow-up required</x:v>
      </x:c>
    </x:row>
    <x:row r="72">
      <x:c r="A72" s="14" t="n">
        <x:v>46214</x:v>
      </x:c>
      <x:c r="B72" s="11" t="str">
        <x:v>REC-1071</x:v>
      </x:c>
      <x:c r="C72" s="11" t="str">
        <x:v>Support</x:v>
      </x:c>
      <x:c r="D72" s="11" t="str">
        <x:v>Personnel</x:v>
      </x:c>
      <x:c r="E72" s="16" t="n">
        <x:v>46214.42847222222</x:v>
      </x:c>
      <x:c r="F72" s="16" t="n">
        <x:v>46214.42291666667</x:v>
      </x:c>
      <x:c r="G72" s="11" t="n">
        <x:f>ROUND((F72-E72)*1440,0)</x:f>
        <x:v>-8</x:v>
      </x:c>
      <x:c r="H72" s="11" t="str">
        <x:v>Complete</x:v>
      </x:c>
      <x:c r="I72" s="18" t="n">
        <x:v>96</x:v>
      </x:c>
      <x:c r="J72" s="11" t="str">
        <x:f>IF(G72&lt;=15,"Yes","No")</x:f>
        <x:v>Yes</x:v>
      </x:c>
      <x:c r="K72" s="11" t="str">
        <x:v>J. Smith</x:v>
      </x:c>
      <x:c r="L72" s="11" t="str">
        <x:v>Validated against source record</x:v>
      </x:c>
    </x:row>
    <x:row r="73">
      <x:c r="A73" s="14" t="n">
        <x:v>46215</x:v>
      </x:c>
      <x:c r="B73" s="11" t="str">
        <x:v>REC-1072</x:v>
      </x:c>
      <x:c r="C73" s="11" t="str">
        <x:v>Finance</x:v>
      </x:c>
      <x:c r="D73" s="11" t="str">
        <x:v>Logistics</x:v>
      </x:c>
      <x:c r="E73" s="16" t="n">
        <x:v>46215.558333333334</x:v>
      </x:c>
      <x:c r="F73" s="16" t="n">
        <x:v>46215.566666666666</x:v>
      </x:c>
      <x:c r="G73" s="11" t="n">
        <x:f>ROUND((F73-E73)*1440,0)</x:f>
        <x:v>12</x:v>
      </x:c>
      <x:c r="H73" s="11" t="str">
        <x:v>Complete</x:v>
      </x:c>
      <x:c r="I73" s="18" t="n">
        <x:v>97</x:v>
      </x:c>
      <x:c r="J73" s="11" t="str">
        <x:f>IF(G73&lt;=15,"Yes","No")</x:f>
        <x:v>Yes</x:v>
      </x:c>
      <x:c r="K73" s="11" t="str">
        <x:v>A. Davis</x:v>
      </x:c>
      <x:c r="L73" s="11" t="str">
        <x:v>No exceptions identified</x:v>
      </x:c>
    </x:row>
    <x:row r="74">
      <x:c r="A74" s="14" t="n">
        <x:v>46216</x:v>
      </x:c>
      <x:c r="B74" s="11" t="str">
        <x:v>REC-1073</x:v>
      </x:c>
      <x:c r="C74" s="11" t="str">
        <x:v>Team Alpha</x:v>
      </x:c>
      <x:c r="D74" s="11" t="str">
        <x:v>Medical</x:v>
      </x:c>
      <x:c r="E74" s="16" t="n">
        <x:v>46216.68819444445</x:v>
      </x:c>
      <x:c r="F74" s="16" t="n">
        <x:v>46216.70763888889</x:v>
      </x:c>
      <x:c r="G74" s="11" t="n">
        <x:f>ROUND((F74-E74)*1440,0)</x:f>
        <x:v>28</x:v>
      </x:c>
      <x:c r="H74" s="11" t="str">
        <x:v>Needs Review</x:v>
      </x:c>
      <x:c r="I74" s="18" t="n">
        <x:v>91</x:v>
      </x:c>
      <x:c r="J74" s="11" t="str">
        <x:f>IF(G74&lt;=15,"Yes","No")</x:f>
        <x:v>No</x:v>
      </x:c>
      <x:c r="K74" s="11" t="str">
        <x:v>R. Lee</x:v>
      </x:c>
      <x:c r="L74" s="11" t="str">
        <x:v>Follow-up required</x:v>
      </x:c>
    </x:row>
    <x:row r="75">
      <x:c r="A75" s="14" t="n">
        <x:v>46217</x:v>
      </x:c>
      <x:c r="B75" s="11" t="str">
        <x:v>REC-1074</x:v>
      </x:c>
      <x:c r="C75" s="11" t="str">
        <x:v>Team Bravo</x:v>
      </x:c>
      <x:c r="D75" s="11" t="str">
        <x:v>Personnel</x:v>
      </x:c>
      <x:c r="E75" s="16" t="n">
        <x:v>46217.40138888889</x:v>
      </x:c>
      <x:c r="F75" s="16" t="n">
        <x:v>46217.395833333336</x:v>
      </x:c>
      <x:c r="G75" s="11" t="n">
        <x:f>ROUND((F75-E75)*1440,0)</x:f>
        <x:v>-8</x:v>
      </x:c>
      <x:c r="H75" s="11" t="str">
        <x:v>Delayed</x:v>
      </x:c>
      <x:c r="I75" s="18" t="n">
        <x:v>77</x:v>
      </x:c>
      <x:c r="J75" s="11" t="str">
        <x:f>IF(G75&lt;=15,"Yes","No")</x:f>
        <x:v>Yes</x:v>
      </x:c>
      <x:c r="K75" s="11" t="str">
        <x:v>M. Carter</x:v>
      </x:c>
      <x:c r="L75" s="11" t="str">
        <x:v>Follow-up required</x:v>
      </x:c>
    </x:row>
    <x:row r="76">
      <x:c r="A76" s="14" t="n">
        <x:v>46218</x:v>
      </x:c>
      <x:c r="B76" s="11" t="str">
        <x:v>REC-1075</x:v>
      </x:c>
      <x:c r="C76" s="11" t="str">
        <x:v>Team Charlie</x:v>
      </x:c>
      <x:c r="D76" s="11" t="str">
        <x:v>Logistics</x:v>
      </x:c>
      <x:c r="E76" s="16" t="n">
        <x:v>46218.53125</x:v>
      </x:c>
      <x:c r="F76" s="16" t="n">
        <x:v>46218.52916666667</x:v>
      </x:c>
      <x:c r="G76" s="11" t="n">
        <x:f>ROUND((F76-E76)*1440,0)</x:f>
        <x:v>-3</x:v>
      </x:c>
      <x:c r="H76" s="11" t="str">
        <x:v>Complete</x:v>
      </x:c>
      <x:c r="I76" s="18" t="n">
        <x:v>98</x:v>
      </x:c>
      <x:c r="J76" s="11" t="str">
        <x:f>IF(G76&lt;=15,"Yes","No")</x:f>
        <x:v>Yes</x:v>
      </x:c>
      <x:c r="K76" s="11" t="str">
        <x:v>J. Smith</x:v>
      </x:c>
      <x:c r="L76" s="11" t="str">
        <x:v>Follow-up required</x:v>
      </x:c>
    </x:row>
    <x:row r="77">
      <x:c r="A77" s="14" t="n">
        <x:v>46219</x:v>
      </x:c>
      <x:c r="B77" s="11" t="str">
        <x:v>REC-1076</x:v>
      </x:c>
      <x:c r="C77" s="11" t="str">
        <x:v>Operations</x:v>
      </x:c>
      <x:c r="D77" s="11" t="str">
        <x:v>Medical</x:v>
      </x:c>
      <x:c r="E77" s="16" t="n">
        <x:v>46219.66111111111</x:v>
      </x:c>
      <x:c r="F77" s="16" t="n">
        <x:v>46219.67222222222</x:v>
      </x:c>
      <x:c r="G77" s="11" t="n">
        <x:f>ROUND((F77-E77)*1440,0)</x:f>
        <x:v>16</x:v>
      </x:c>
      <x:c r="H77" s="11" t="str">
        <x:v>Complete</x:v>
      </x:c>
      <x:c r="I77" s="18" t="n">
        <x:v>97</x:v>
      </x:c>
      <x:c r="J77" s="11" t="str">
        <x:f>IF(G77&lt;=15,"Yes","No")</x:f>
        <x:v>No</x:v>
      </x:c>
      <x:c r="K77" s="11" t="str">
        <x:v>A. Davis</x:v>
      </x:c>
      <x:c r="L77" s="11" t="str">
        <x:v>Follow-up required</x:v>
      </x:c>
    </x:row>
    <x:row r="78">
      <x:c r="A78" s="14" t="n">
        <x:v>46220</x:v>
      </x:c>
      <x:c r="B78" s="11" t="str">
        <x:v>REC-1077</x:v>
      </x:c>
      <x:c r="C78" s="11" t="str">
        <x:v>Support</x:v>
      </x:c>
      <x:c r="D78" s="11" t="str">
        <x:v>Personnel</x:v>
      </x:c>
      <x:c r="E78" s="16" t="n">
        <x:v>46220.37430555555</x:v>
      </x:c>
      <x:c r="F78" s="16" t="n">
        <x:v>46220.39861111111</x:v>
      </x:c>
      <x:c r="G78" s="11" t="n">
        <x:f>ROUND((F78-E78)*1440,0)</x:f>
        <x:v>35</x:v>
      </x:c>
      <x:c r="H78" s="11" t="str">
        <x:v>Complete</x:v>
      </x:c>
      <x:c r="I78" s="18" t="n">
        <x:v>97</x:v>
      </x:c>
      <x:c r="J78" s="11" t="str">
        <x:f>IF(G78&lt;=15,"Yes","No")</x:f>
        <x:v>No</x:v>
      </x:c>
      <x:c r="K78" s="11" t="str">
        <x:v>R. Lee</x:v>
      </x:c>
      <x:c r="L78" s="11" t="str">
        <x:v>Validated against source record</x:v>
      </x:c>
    </x:row>
    <x:row r="79">
      <x:c r="A79" s="14" t="n">
        <x:v>46221</x:v>
      </x:c>
      <x:c r="B79" s="11" t="str">
        <x:v>REC-1078</x:v>
      </x:c>
      <x:c r="C79" s="11" t="str">
        <x:v>Finance</x:v>
      </x:c>
      <x:c r="D79" s="11" t="str">
        <x:v>Logistics</x:v>
      </x:c>
      <x:c r="E79" s="16" t="n">
        <x:v>46221.4625</x:v>
      </x:c>
      <x:c r="F79" s="16" t="n">
        <x:v>46221.47361111111</x:v>
      </x:c>
      <x:c r="G79" s="11" t="n">
        <x:f>ROUND((F79-E79)*1440,0)</x:f>
        <x:v>16</x:v>
      </x:c>
      <x:c r="H79" s="11" t="str">
        <x:v>In Progress</x:v>
      </x:c>
      <x:c r="I79" s="18" t="n">
        <x:v>93</x:v>
      </x:c>
      <x:c r="J79" s="11" t="str">
        <x:f>IF(G79&lt;=15,"Yes","No")</x:f>
        <x:v>No</x:v>
      </x:c>
      <x:c r="K79" s="11" t="str">
        <x:v>M. Carter</x:v>
      </x:c>
      <x:c r="L79" s="11" t="str">
        <x:v>Corrected missing field</x:v>
      </x:c>
    </x:row>
    <x:row r="80">
      <x:c r="A80" s="14" t="n">
        <x:v>46222</x:v>
      </x:c>
      <x:c r="B80" s="11" t="str">
        <x:v>REC-1079</x:v>
      </x:c>
      <x:c r="C80" s="11" t="str">
        <x:v>Team Alpha</x:v>
      </x:c>
      <x:c r="D80" s="11" t="str">
        <x:v>Medical</x:v>
      </x:c>
      <x:c r="E80" s="16" t="n">
        <x:v>46222.592361111114</x:v>
      </x:c>
      <x:c r="F80" s="16" t="n">
        <x:v>46222.600694444445</x:v>
      </x:c>
      <x:c r="G80" s="11" t="n">
        <x:f>ROUND((F80-E80)*1440,0)</x:f>
        <x:v>12</x:v>
      </x:c>
      <x:c r="H80" s="11" t="str">
        <x:v>Delayed</x:v>
      </x:c>
      <x:c r="I80" s="18" t="n">
        <x:v>81</x:v>
      </x:c>
      <x:c r="J80" s="11" t="str">
        <x:f>IF(G80&lt;=15,"Yes","No")</x:f>
        <x:v>Yes</x:v>
      </x:c>
      <x:c r="K80" s="11" t="str">
        <x:v>J. Smith</x:v>
      </x:c>
      <x:c r="L80" s="11" t="str">
        <x:v>Pending supporting documentation</x:v>
      </x:c>
    </x:row>
    <x:row r="81">
      <x:c r="A81" s="14" t="n">
        <x:v>46223</x:v>
      </x:c>
      <x:c r="B81" s="11" t="str">
        <x:v>REC-1080</x:v>
      </x:c>
      <x:c r="C81" s="11" t="str">
        <x:v>Team Bravo</x:v>
      </x:c>
      <x:c r="D81" s="11" t="str">
        <x:v>Personnel</x:v>
      </x:c>
      <x:c r="E81" s="16" t="n">
        <x:v>46223.305555555555</x:v>
      </x:c>
      <x:c r="F81" s="16" t="n">
        <x:v>46223.313888888886</x:v>
      </x:c>
      <x:c r="G81" s="11" t="n">
        <x:f>ROUND((F81-E81)*1440,0)</x:f>
        <x:v>12</x:v>
      </x:c>
      <x:c r="H81" s="11" t="str">
        <x:v>Complete</x:v>
      </x:c>
      <x:c r="I81" s="18" t="n">
        <x:v>94</x:v>
      </x:c>
      <x:c r="J81" s="11" t="str">
        <x:f>IF(G81&lt;=15,"Yes","No")</x:f>
        <x:v>Yes</x:v>
      </x:c>
      <x:c r="K81" s="11" t="str">
        <x:v>A. Davis</x:v>
      </x:c>
      <x:c r="L81" s="11" t="str">
        <x:v>Follow-up required</x:v>
      </x:c>
    </x:row>
    <x:row r="82">
      <x:c r="A82" s="14" t="n">
        <x:v>46224</x:v>
      </x:c>
      <x:c r="B82" s="11" t="str">
        <x:v>REC-1081</x:v>
      </x:c>
      <x:c r="C82" s="11" t="str">
        <x:v>Team Charlie</x:v>
      </x:c>
      <x:c r="D82" s="11" t="str">
        <x:v>Logistics</x:v>
      </x:c>
      <x:c r="E82" s="16" t="n">
        <x:v>46224.43541666667</x:v>
      </x:c>
      <x:c r="F82" s="16" t="n">
        <x:v>46224.441666666666</x:v>
      </x:c>
      <x:c r="G82" s="11" t="n">
        <x:f>ROUND((F82-E82)*1440,0)</x:f>
        <x:v>9</x:v>
      </x:c>
      <x:c r="H82" s="11" t="str">
        <x:v>Complete</x:v>
      </x:c>
      <x:c r="I82" s="18" t="n">
        <x:v>100</x:v>
      </x:c>
      <x:c r="J82" s="11" t="str">
        <x:f>IF(G82&lt;=15,"Yes","No")</x:f>
        <x:v>Yes</x:v>
      </x:c>
      <x:c r="K82" s="11" t="str">
        <x:v>R. Lee</x:v>
      </x:c>
      <x:c r="L82" s="11" t="str">
        <x:v>Validated against source record</x:v>
      </x:c>
    </x:row>
    <x:row r="83">
      <x:c r="A83" s="14" t="n">
        <x:v>46225</x:v>
      </x:c>
      <x:c r="B83" s="11" t="str">
        <x:v>REC-1082</x:v>
      </x:c>
      <x:c r="C83" s="11" t="str">
        <x:v>Operations</x:v>
      </x:c>
      <x:c r="D83" s="11" t="str">
        <x:v>Medical</x:v>
      </x:c>
      <x:c r="E83" s="16" t="n">
        <x:v>46225.56527777778</x:v>
      </x:c>
      <x:c r="F83" s="16" t="n">
        <x:v>46225.55972222222</x:v>
      </x:c>
      <x:c r="G83" s="11" t="n">
        <x:f>ROUND((F83-E83)*1440,0)</x:f>
        <x:v>-8</x:v>
      </x:c>
      <x:c r="H83" s="11" t="str">
        <x:v>Complete</x:v>
      </x:c>
      <x:c r="I83" s="18" t="n">
        <x:v>97</x:v>
      </x:c>
      <x:c r="J83" s="11" t="str">
        <x:f>IF(G83&lt;=15,"Yes","No")</x:f>
        <x:v>Yes</x:v>
      </x:c>
      <x:c r="K83" s="11" t="str">
        <x:v>M. Carter</x:v>
      </x:c>
      <x:c r="L83" s="11" t="str">
        <x:v>Validated against source record</x:v>
      </x:c>
    </x:row>
    <x:row r="84">
      <x:c r="A84" s="14" t="n">
        <x:v>46226</x:v>
      </x:c>
      <x:c r="B84" s="11" t="str">
        <x:v>REC-1083</x:v>
      </x:c>
      <x:c r="C84" s="11" t="str">
        <x:v>Support</x:v>
      </x:c>
      <x:c r="D84" s="11" t="str">
        <x:v>Personnel</x:v>
      </x:c>
      <x:c r="E84" s="16" t="n">
        <x:v>46226.69513888889</x:v>
      </x:c>
      <x:c r="F84" s="16" t="n">
        <x:v>46226.69305555556</x:v>
      </x:c>
      <x:c r="G84" s="11" t="n">
        <x:f>ROUND((F84-E84)*1440,0)</x:f>
        <x:v>-3</x:v>
      </x:c>
      <x:c r="H84" s="11" t="str">
        <x:v>Complete</x:v>
      </x:c>
      <x:c r="I84" s="18" t="n">
        <x:v>96</x:v>
      </x:c>
      <x:c r="J84" s="11" t="str">
        <x:f>IF(G84&lt;=15,"Yes","No")</x:f>
        <x:v>Yes</x:v>
      </x:c>
      <x:c r="K84" s="11" t="str">
        <x:v>J. Smith</x:v>
      </x:c>
      <x:c r="L84" s="11" t="str">
        <x:v>Reviewed with team lead</x:v>
      </x:c>
    </x:row>
    <x:row r="85">
      <x:c r="A85" s="14" t="n">
        <x:v>46227</x:v>
      </x:c>
      <x:c r="B85" s="11" t="str">
        <x:v>REC-1084</x:v>
      </x:c>
      <x:c r="C85" s="11" t="str">
        <x:v>Finance</x:v>
      </x:c>
      <x:c r="D85" s="11" t="str">
        <x:v>Logistics</x:v>
      </x:c>
      <x:c r="E85" s="16" t="n">
        <x:v>46227.40833333333</x:v>
      </x:c>
      <x:c r="F85" s="16" t="n">
        <x:v>46227.40972222222</x:v>
      </x:c>
      <x:c r="G85" s="11" t="n">
        <x:f>ROUND((F85-E85)*1440,0)</x:f>
        <x:v>2</x:v>
      </x:c>
      <x:c r="H85" s="11" t="str">
        <x:v>Delayed</x:v>
      </x:c>
      <x:c r="I85" s="18" t="n">
        <x:v>77</x:v>
      </x:c>
      <x:c r="J85" s="11" t="str">
        <x:f>IF(G85&lt;=15,"Yes","No")</x:f>
        <x:v>Yes</x:v>
      </x:c>
      <x:c r="K85" s="11" t="str">
        <x:v>A. Davis</x:v>
      </x:c>
      <x:c r="L85" s="11" t="str">
        <x:v>Follow-up required</x:v>
      </x:c>
    </x:row>
    <x:row r="86">
      <x:c r="A86" s="14" t="n">
        <x:v>46228</x:v>
      </x:c>
      <x:c r="B86" s="11" t="str">
        <x:v>REC-1085</x:v>
      </x:c>
      <x:c r="C86" s="11" t="str">
        <x:v>Team Alpha</x:v>
      </x:c>
      <x:c r="D86" s="11" t="str">
        <x:v>Medical</x:v>
      </x:c>
      <x:c r="E86" s="16" t="n">
        <x:v>46228.538194444445</x:v>
      </x:c>
      <x:c r="F86" s="16" t="n">
        <x:v>46228.54652777778</x:v>
      </x:c>
      <x:c r="G86" s="11" t="n">
        <x:f>ROUND((F86-E86)*1440,0)</x:f>
        <x:v>12</x:v>
      </x:c>
      <x:c r="H86" s="11" t="str">
        <x:v>Complete</x:v>
      </x:c>
      <x:c r="I86" s="18" t="n">
        <x:v>95</x:v>
      </x:c>
      <x:c r="J86" s="11" t="str">
        <x:f>IF(G86&lt;=15,"Yes","No")</x:f>
        <x:v>Yes</x:v>
      </x:c>
      <x:c r="K86" s="11" t="str">
        <x:v>R. Lee</x:v>
      </x:c>
      <x:c r="L86" s="11" t="str">
        <x:v>Corrected missing field</x:v>
      </x:c>
    </x:row>
    <x:row r="87">
      <x:c r="A87" s="14" t="n">
        <x:v>46229</x:v>
      </x:c>
      <x:c r="B87" s="11" t="str">
        <x:v>REC-1086</x:v>
      </x:c>
      <x:c r="C87" s="11" t="str">
        <x:v>Team Bravo</x:v>
      </x:c>
      <x:c r="D87" s="11" t="str">
        <x:v>Personnel</x:v>
      </x:c>
      <x:c r="E87" s="16" t="n">
        <x:v>46229.626388888886</x:v>
      </x:c>
      <x:c r="F87" s="16" t="n">
        <x:v>46229.63263888889</x:v>
      </x:c>
      <x:c r="G87" s="11" t="n">
        <x:f>ROUND((F87-E87)*1440,0)</x:f>
        <x:v>9</x:v>
      </x:c>
      <x:c r="H87" s="11" t="str">
        <x:v>Complete</x:v>
      </x:c>
      <x:c r="I87" s="18" t="n">
        <x:v>100</x:v>
      </x:c>
      <x:c r="J87" s="11" t="str">
        <x:f>IF(G87&lt;=15,"Yes","No")</x:f>
        <x:v>Yes</x:v>
      </x:c>
      <x:c r="K87" s="11" t="str">
        <x:v>M. Carter</x:v>
      </x:c>
      <x:c r="L87" s="11" t="str">
        <x:v>Pending supporting documentation</x:v>
      </x:c>
    </x:row>
    <x:row r="88">
      <x:c r="A88" s="14" t="n">
        <x:v>46230</x:v>
      </x:c>
      <x:c r="B88" s="11" t="str">
        <x:v>REC-1087</x:v>
      </x:c>
      <x:c r="C88" s="11" t="str">
        <x:v>Team Charlie</x:v>
      </x:c>
      <x:c r="D88" s="11" t="str">
        <x:v>Logistics</x:v>
      </x:c>
      <x:c r="E88" s="16" t="n">
        <x:v>46230.339583333334</x:v>
      </x:c>
      <x:c r="F88" s="16" t="n">
        <x:v>46230.35902777778</x:v>
      </x:c>
      <x:c r="G88" s="11" t="n">
        <x:f>ROUND((F88-E88)*1440,0)</x:f>
        <x:v>28</x:v>
      </x:c>
      <x:c r="H88" s="11" t="str">
        <x:v>Complete</x:v>
      </x:c>
      <x:c r="I88" s="18" t="n">
        <x:v>96</x:v>
      </x:c>
      <x:c r="J88" s="11" t="str">
        <x:f>IF(G88&lt;=15,"Yes","No")</x:f>
        <x:v>No</x:v>
      </x:c>
      <x:c r="K88" s="11" t="str">
        <x:v>J. Smith</x:v>
      </x:c>
      <x:c r="L88" s="11" t="str">
        <x:v>Reviewed with team lead</x:v>
      </x:c>
    </x:row>
    <x:row r="89">
      <x:c r="A89" s="14" t="n">
        <x:v>46231</x:v>
      </x:c>
      <x:c r="B89" s="11" t="str">
        <x:v>REC-1088</x:v>
      </x:c>
      <x:c r="C89" s="11" t="str">
        <x:v>Operations</x:v>
      </x:c>
      <x:c r="D89" s="11" t="str">
        <x:v>Medical</x:v>
      </x:c>
      <x:c r="E89" s="16" t="n">
        <x:v>46231.46944444445</x:v>
      </x:c>
      <x:c r="F89" s="16" t="n">
        <x:v>46231.467361111114</x:v>
      </x:c>
      <x:c r="G89" s="11" t="n">
        <x:f>ROUND((F89-E89)*1440,0)</x:f>
        <x:v>-3</x:v>
      </x:c>
      <x:c r="H89" s="11" t="str">
        <x:v>Delayed</x:v>
      </x:c>
      <x:c r="I89" s="18" t="n">
        <x:v>79</x:v>
      </x:c>
      <x:c r="J89" s="11" t="str">
        <x:f>IF(G89&lt;=15,"Yes","No")</x:f>
        <x:v>Yes</x:v>
      </x:c>
      <x:c r="K89" s="11" t="str">
        <x:v>A. Davis</x:v>
      </x:c>
      <x:c r="L89" s="11" t="str">
        <x:v>Reviewed with team lead</x:v>
      </x:c>
    </x:row>
    <x:row r="90">
      <x:c r="A90" s="14" t="n">
        <x:v>46232</x:v>
      </x:c>
      <x:c r="B90" s="11" t="str">
        <x:v>REC-1089</x:v>
      </x:c>
      <x:c r="C90" s="11" t="str">
        <x:v>Support</x:v>
      </x:c>
      <x:c r="D90" s="11" t="str">
        <x:v>Personnel</x:v>
      </x:c>
      <x:c r="E90" s="16" t="n">
        <x:v>46232.59930555556</x:v>
      </x:c>
      <x:c r="F90" s="16" t="n">
        <x:v>46232.59722222222</x:v>
      </x:c>
      <x:c r="G90" s="11" t="n">
        <x:f>ROUND((F90-E90)*1440,0)</x:f>
        <x:v>-3</x:v>
      </x:c>
      <x:c r="H90" s="11" t="str">
        <x:v>Needs Review</x:v>
      </x:c>
      <x:c r="I90" s="18" t="n">
        <x:v>92</x:v>
      </x:c>
      <x:c r="J90" s="11" t="str">
        <x:f>IF(G90&lt;=15,"Yes","No")</x:f>
        <x:v>Yes</x:v>
      </x:c>
      <x:c r="K90" s="11" t="str">
        <x:v>R. Lee</x:v>
      </x:c>
      <x:c r="L90" s="11" t="str">
        <x:v>Follow-up required</x:v>
      </x:c>
    </x:row>
    <x:row r="91">
      <x:c r="A91" s="14" t="n">
        <x:v>46233</x:v>
      </x:c>
      <x:c r="B91" s="11" t="str">
        <x:v>REC-1090</x:v>
      </x:c>
      <x:c r="C91" s="11" t="str">
        <x:v>Finance</x:v>
      </x:c>
      <x:c r="D91" s="11" t="str">
        <x:v>Logistics</x:v>
      </x:c>
      <x:c r="E91" s="16" t="n">
        <x:v>46233.3125</x:v>
      </x:c>
      <x:c r="F91" s="16" t="n">
        <x:v>46233.31875</x:v>
      </x:c>
      <x:c r="G91" s="11" t="n">
        <x:f>ROUND((F91-E91)*1440,0)</x:f>
        <x:v>9</x:v>
      </x:c>
      <x:c r="H91" s="11" t="str">
        <x:v>Complete</x:v>
      </x:c>
      <x:c r="I91" s="18" t="n">
        <x:v>91</x:v>
      </x:c>
      <x:c r="J91" s="11" t="str">
        <x:f>IF(G91&lt;=15,"Yes","No")</x:f>
        <x:v>Yes</x:v>
      </x:c>
      <x:c r="K91" s="11" t="str">
        <x:v>M. Carter</x:v>
      </x:c>
      <x:c r="L91" s="11" t="str">
        <x:v>Pending supporting documentation</x:v>
      </x:c>
    </x:row>
    <x:row r="92">
      <x:c r="A92" s="14" t="n">
        <x:v>46204</x:v>
      </x:c>
      <x:c r="B92" s="11" t="str">
        <x:v>REC-1091</x:v>
      </x:c>
      <x:c r="C92" s="11" t="str">
        <x:v>Team Alpha</x:v>
      </x:c>
      <x:c r="D92" s="11" t="str">
        <x:v>Medical</x:v>
      </x:c>
      <x:c r="E92" s="16" t="n">
        <x:v>46204.44236111111</x:v>
      </x:c>
      <x:c r="F92" s="16" t="n">
        <x:v>46204.450694444444</x:v>
      </x:c>
      <x:c r="G92" s="11" t="n">
        <x:f>ROUND((F92-E92)*1440,0)</x:f>
        <x:v>12</x:v>
      </x:c>
      <x:c r="H92" s="11" t="str">
        <x:v>Complete</x:v>
      </x:c>
      <x:c r="I92" s="18" t="n">
        <x:v>98</x:v>
      </x:c>
      <x:c r="J92" s="11" t="str">
        <x:f>IF(G92&lt;=15,"Yes","No")</x:f>
        <x:v>Yes</x:v>
      </x:c>
      <x:c r="K92" s="11" t="str">
        <x:v>J. Smith</x:v>
      </x:c>
      <x:c r="L92" s="11" t="str">
        <x:v>Reviewed with team lead</x:v>
      </x:c>
    </x:row>
    <x:row r="93">
      <x:c r="A93" s="14" t="n">
        <x:v>46205</x:v>
      </x:c>
      <x:c r="B93" s="11" t="str">
        <x:v>REC-1092</x:v>
      </x:c>
      <x:c r="C93" s="11" t="str">
        <x:v>Team Bravo</x:v>
      </x:c>
      <x:c r="D93" s="11" t="str">
        <x:v>Personnel</x:v>
      </x:c>
      <x:c r="E93" s="16" t="n">
        <x:v>46205.572222222225</x:v>
      </x:c>
      <x:c r="F93" s="16" t="n">
        <x:v>46205.59166666667</x:v>
      </x:c>
      <x:c r="G93" s="11" t="n">
        <x:f>ROUND((F93-E93)*1440,0)</x:f>
        <x:v>28</x:v>
      </x:c>
      <x:c r="H93" s="11" t="str">
        <x:v>Complete</x:v>
      </x:c>
      <x:c r="I93" s="18" t="n">
        <x:v>88</x:v>
      </x:c>
      <x:c r="J93" s="11" t="str">
        <x:f>IF(G93&lt;=15,"Yes","No")</x:f>
        <x:v>No</x:v>
      </x:c>
      <x:c r="K93" s="11" t="str">
        <x:v>A. Davis</x:v>
      </x:c>
      <x:c r="L93" s="11" t="str">
        <x:v>Validated against source record</x:v>
      </x:c>
    </x:row>
    <x:row r="94">
      <x:c r="A94" s="14" t="n">
        <x:v>46206</x:v>
      </x:c>
      <x:c r="B94" s="11" t="str">
        <x:v>REC-1093</x:v>
      </x:c>
      <x:c r="C94" s="11" t="str">
        <x:v>Team Charlie</x:v>
      </x:c>
      <x:c r="D94" s="11" t="str">
        <x:v>Logistics</x:v>
      </x:c>
      <x:c r="E94" s="16" t="n">
        <x:v>46206.70208333333</x:v>
      </x:c>
      <x:c r="F94" s="16" t="n">
        <x:v>46206.71319444444</x:v>
      </x:c>
      <x:c r="G94" s="11" t="n">
        <x:f>ROUND((F94-E94)*1440,0)</x:f>
        <x:v>16</x:v>
      </x:c>
      <x:c r="H94" s="11" t="str">
        <x:v>In Progress</x:v>
      </x:c>
      <x:c r="I94" s="18" t="n">
        <x:v>76</x:v>
      </x:c>
      <x:c r="J94" s="11" t="str">
        <x:f>IF(G94&lt;=15,"Yes","No")</x:f>
        <x:v>No</x:v>
      </x:c>
      <x:c r="K94" s="11" t="str">
        <x:v>R. Lee</x:v>
      </x:c>
      <x:c r="L94" s="11" t="str">
        <x:v>Validated against source record</x:v>
      </x:c>
    </x:row>
    <x:row r="95">
      <x:c r="A95" s="14" t="n">
        <x:v>46207</x:v>
      </x:c>
      <x:c r="B95" s="11" t="str">
        <x:v>REC-1094</x:v>
      </x:c>
      <x:c r="C95" s="11" t="str">
        <x:v>Operations</x:v>
      </x:c>
      <x:c r="D95" s="11" t="str">
        <x:v>Medical</x:v>
      </x:c>
      <x:c r="E95" s="16" t="n">
        <x:v>46207.41527777778</x:v>
      </x:c>
      <x:c r="F95" s="16" t="n">
        <x:v>46207.42361111111</x:v>
      </x:c>
      <x:c r="G95" s="11" t="n">
        <x:f>ROUND((F95-E95)*1440,0)</x:f>
        <x:v>12</x:v>
      </x:c>
      <x:c r="H95" s="11" t="str">
        <x:v>In Progress</x:v>
      </x:c>
      <x:c r="I95" s="18" t="n">
        <x:v>95</x:v>
      </x:c>
      <x:c r="J95" s="11" t="str">
        <x:f>IF(G95&lt;=15,"Yes","No")</x:f>
        <x:v>Yes</x:v>
      </x:c>
      <x:c r="K95" s="11" t="str">
        <x:v>M. Carter</x:v>
      </x:c>
      <x:c r="L95" s="11" t="str">
        <x:v>Reviewed with team lead</x:v>
      </x:c>
    </x:row>
    <x:row r="96">
      <x:c r="A96" s="14" t="n">
        <x:v>46208</x:v>
      </x:c>
      <x:c r="B96" s="11" t="str">
        <x:v>REC-1095</x:v>
      </x:c>
      <x:c r="C96" s="11" t="str">
        <x:v>Support</x:v>
      </x:c>
      <x:c r="D96" s="11" t="str">
        <x:v>Personnel</x:v>
      </x:c>
      <x:c r="E96" s="16" t="n">
        <x:v>46208.50347222222</x:v>
      </x:c>
      <x:c r="F96" s="16" t="n">
        <x:v>46208.50486111111</x:v>
      </x:c>
      <x:c r="G96" s="11" t="n">
        <x:f>ROUND((F96-E96)*1440,0)</x:f>
        <x:v>2</x:v>
      </x:c>
      <x:c r="H96" s="11" t="str">
        <x:v>In Progress</x:v>
      </x:c>
      <x:c r="I96" s="18" t="n">
        <x:v>92</x:v>
      </x:c>
      <x:c r="J96" s="11" t="str">
        <x:f>IF(G96&lt;=15,"Yes","No")</x:f>
        <x:v>Yes</x:v>
      </x:c>
      <x:c r="K96" s="11" t="str">
        <x:v>J. Smith</x:v>
      </x:c>
      <x:c r="L96" s="11" t="str">
        <x:v>Pending supporting documentation</x:v>
      </x:c>
    </x:row>
    <x:row r="97">
      <x:c r="A97" s="14" t="n">
        <x:v>46209</x:v>
      </x:c>
      <x:c r="B97" s="11" t="str">
        <x:v>REC-1096</x:v>
      </x:c>
      <x:c r="C97" s="11" t="str">
        <x:v>Finance</x:v>
      </x:c>
      <x:c r="D97" s="11" t="str">
        <x:v>Logistics</x:v>
      </x:c>
      <x:c r="E97" s="16" t="n">
        <x:v>46209.63333333333</x:v>
      </x:c>
      <x:c r="F97" s="16" t="n">
        <x:v>46209.64444444444</x:v>
      </x:c>
      <x:c r="G97" s="11" t="n">
        <x:f>ROUND((F97-E97)*1440,0)</x:f>
        <x:v>16</x:v>
      </x:c>
      <x:c r="H97" s="11" t="str">
        <x:v>Complete</x:v>
      </x:c>
      <x:c r="I97" s="18" t="n">
        <x:v>89</x:v>
      </x:c>
      <x:c r="J97" s="11" t="str">
        <x:f>IF(G97&lt;=15,"Yes","No")</x:f>
        <x:v>No</x:v>
      </x:c>
      <x:c r="K97" s="11" t="str">
        <x:v>A. Davis</x:v>
      </x:c>
      <x:c r="L97" s="11" t="str">
        <x:v>Validated against source record</x:v>
      </x:c>
    </x:row>
    <x:row r="98">
      <x:c r="A98" s="14" t="n">
        <x:v>46210</x:v>
      </x:c>
      <x:c r="B98" s="11" t="str">
        <x:v>REC-1097</x:v>
      </x:c>
      <x:c r="C98" s="11" t="str">
        <x:v>Team Alpha</x:v>
      </x:c>
      <x:c r="D98" s="11" t="str">
        <x:v>Medical</x:v>
      </x:c>
      <x:c r="E98" s="16" t="n">
        <x:v>46210.34652777778</x:v>
      </x:c>
      <x:c r="F98" s="16" t="n">
        <x:v>46210.347916666666</x:v>
      </x:c>
      <x:c r="G98" s="11" t="n">
        <x:f>ROUND((F98-E98)*1440,0)</x:f>
        <x:v>2</x:v>
      </x:c>
      <x:c r="H98" s="11" t="str">
        <x:v>Complete</x:v>
      </x:c>
      <x:c r="I98" s="18" t="n">
        <x:v>93</x:v>
      </x:c>
      <x:c r="J98" s="11" t="str">
        <x:f>IF(G98&lt;=15,"Yes","No")</x:f>
        <x:v>Yes</x:v>
      </x:c>
      <x:c r="K98" s="11" t="str">
        <x:v>R. Lee</x:v>
      </x:c>
      <x:c r="L98" s="11" t="str">
        <x:v>Corrected missing field</x:v>
      </x:c>
    </x:row>
    <x:row r="99">
      <x:c r="A99" s="14" t="n">
        <x:v>46211</x:v>
      </x:c>
      <x:c r="B99" s="11" t="str">
        <x:v>REC-1098</x:v>
      </x:c>
      <x:c r="C99" s="11" t="str">
        <x:v>Team Bravo</x:v>
      </x:c>
      <x:c r="D99" s="11" t="str">
        <x:v>Personnel</x:v>
      </x:c>
      <x:c r="E99" s="16" t="n">
        <x:v>46211.47638888889</x:v>
      </x:c>
      <x:c r="F99" s="16" t="n">
        <x:v>46211.495833333334</x:v>
      </x:c>
      <x:c r="G99" s="11" t="n">
        <x:f>ROUND((F99-E99)*1440,0)</x:f>
        <x:v>28</x:v>
      </x:c>
      <x:c r="H99" s="11" t="str">
        <x:v>Complete</x:v>
      </x:c>
      <x:c r="I99" s="18" t="n">
        <x:v>90</x:v>
      </x:c>
      <x:c r="J99" s="11" t="str">
        <x:f>IF(G99&lt;=15,"Yes","No")</x:f>
        <x:v>No</x:v>
      </x:c>
      <x:c r="K99" s="11" t="str">
        <x:v>M. Carter</x:v>
      </x:c>
      <x:c r="L99" s="11" t="str">
        <x:v>Validated against source record</x:v>
      </x:c>
    </x:row>
    <x:row r="100">
      <x:c r="A100" s="14" t="n">
        <x:v>46212</x:v>
      </x:c>
      <x:c r="B100" s="11" t="str">
        <x:v>REC-1099</x:v>
      </x:c>
      <x:c r="C100" s="11" t="str">
        <x:v>Team Charlie</x:v>
      </x:c>
      <x:c r="D100" s="11" t="str">
        <x:v>Logistics</x:v>
      </x:c>
      <x:c r="E100" s="16" t="n">
        <x:v>46212.60625</x:v>
      </x:c>
      <x:c r="F100" s="16" t="n">
        <x:v>46212.6125</x:v>
      </x:c>
      <x:c r="G100" s="11" t="n">
        <x:f>ROUND((F100-E100)*1440,0)</x:f>
        <x:v>9</x:v>
      </x:c>
      <x:c r="H100" s="11" t="str">
        <x:v>Complete</x:v>
      </x:c>
      <x:c r="I100" s="18" t="n">
        <x:v>100</x:v>
      </x:c>
      <x:c r="J100" s="11" t="str">
        <x:f>IF(G100&lt;=15,"Yes","No")</x:f>
        <x:v>Yes</x:v>
      </x:c>
      <x:c r="K100" s="11" t="str">
        <x:v>J. Smith</x:v>
      </x:c>
      <x:c r="L100" s="11" t="str">
        <x:v>Validated against source record</x:v>
      </x:c>
    </x:row>
    <x:row r="101">
      <x:c r="A101" s="14" t="n">
        <x:v>46213</x:v>
      </x:c>
      <x:c r="B101" s="11" t="str">
        <x:v>REC-1100</x:v>
      </x:c>
      <x:c r="C101" s="11" t="str">
        <x:v>Operations</x:v>
      </x:c>
      <x:c r="D101" s="11" t="str">
        <x:v>Medical</x:v>
      </x:c>
      <x:c r="E101" s="16" t="n">
        <x:v>46213.319444444445</x:v>
      </x:c>
      <x:c r="F101" s="16" t="n">
        <x:v>46213.32777777778</x:v>
      </x:c>
      <x:c r="G101" s="11" t="n">
        <x:f>ROUND((F101-E101)*1440,0)</x:f>
        <x:v>12</x:v>
      </x:c>
      <x:c r="H101" s="11" t="str">
        <x:v>Complete</x:v>
      </x:c>
      <x:c r="I101" s="18" t="n">
        <x:v>91</x:v>
      </x:c>
      <x:c r="J101" s="11" t="str">
        <x:f>IF(G101&lt;=15,"Yes","No")</x:f>
        <x:v>Yes</x:v>
      </x:c>
      <x:c r="K101" s="11" t="str">
        <x:v>A. Davis</x:v>
      </x:c>
      <x:c r="L101" s="11" t="str">
        <x:v>Pending supporting documentation</x:v>
      </x:c>
    </x:row>
    <x:row r="102">
      <x:c r="A102" s="14" t="n">
        <x:v>46214</x:v>
      </x:c>
      <x:c r="B102" s="11" t="str">
        <x:v>REC-1101</x:v>
      </x:c>
      <x:c r="C102" s="11" t="str">
        <x:v>Support</x:v>
      </x:c>
      <x:c r="D102" s="11" t="str">
        <x:v>Personnel</x:v>
      </x:c>
      <x:c r="E102" s="16" t="n">
        <x:v>46214.44930555556</x:v>
      </x:c>
      <x:c r="F102" s="16" t="n">
        <x:v>46214.447222222225</x:v>
      </x:c>
      <x:c r="G102" s="11" t="n">
        <x:f>ROUND((F102-E102)*1440,0)</x:f>
        <x:v>-3</x:v>
      </x:c>
      <x:c r="H102" s="11" t="str">
        <x:v>Complete</x:v>
      </x:c>
      <x:c r="I102" s="18" t="n">
        <x:v>96</x:v>
      </x:c>
      <x:c r="J102" s="11" t="str">
        <x:f>IF(G102&lt;=15,"Yes","No")</x:f>
        <x:v>Yes</x:v>
      </x:c>
      <x:c r="K102" s="11" t="str">
        <x:v>R. Lee</x:v>
      </x:c>
      <x:c r="L102" s="11" t="str">
        <x:v>No exceptions identified</x:v>
      </x:c>
    </x:row>
    <x:row r="103">
      <x:c r="A103" s="14" t="n">
        <x:v>46215</x:v>
      </x:c>
      <x:c r="B103" s="11" t="str">
        <x:v>REC-1102</x:v>
      </x:c>
      <x:c r="C103" s="11" t="str">
        <x:v>Finance</x:v>
      </x:c>
      <x:c r="D103" s="11" t="str">
        <x:v>Logistics</x:v>
      </x:c>
      <x:c r="E103" s="16" t="n">
        <x:v>46215.57916666667</x:v>
      </x:c>
      <x:c r="F103" s="16" t="n">
        <x:v>46215.603472222225</x:v>
      </x:c>
      <x:c r="G103" s="11" t="n">
        <x:f>ROUND((F103-E103)*1440,0)</x:f>
        <x:v>35</x:v>
      </x:c>
      <x:c r="H103" s="11" t="str">
        <x:v>In Progress</x:v>
      </x:c>
      <x:c r="I103" s="18" t="n">
        <x:v>82</x:v>
      </x:c>
      <x:c r="J103" s="11" t="str">
        <x:f>IF(G103&lt;=15,"Yes","No")</x:f>
        <x:v>No</x:v>
      </x:c>
      <x:c r="K103" s="11" t="str">
        <x:v>M. Carter</x:v>
      </x:c>
      <x:c r="L103" s="11" t="str">
        <x:v>Follow-up required</x:v>
      </x:c>
    </x:row>
    <x:row r="104">
      <x:c r="A104" s="14" t="n">
        <x:v>46216</x:v>
      </x:c>
      <x:c r="B104" s="11" t="str">
        <x:v>REC-1103</x:v>
      </x:c>
      <x:c r="C104" s="11" t="str">
        <x:v>Team Alpha</x:v>
      </x:c>
      <x:c r="D104" s="11" t="str">
        <x:v>Medical</x:v>
      </x:c>
      <x:c r="E104" s="16" t="n">
        <x:v>46216.66736111111</x:v>
      </x:c>
      <x:c r="F104" s="16" t="n">
        <x:v>46216.66875</x:v>
      </x:c>
      <x:c r="G104" s="11" t="n">
        <x:f>ROUND((F104-E104)*1440,0)</x:f>
        <x:v>2</x:v>
      </x:c>
      <x:c r="H104" s="11" t="str">
        <x:v>Needs Review</x:v>
      </x:c>
      <x:c r="I104" s="18" t="n">
        <x:v>75</x:v>
      </x:c>
      <x:c r="J104" s="11" t="str">
        <x:f>IF(G104&lt;=15,"Yes","No")</x:f>
        <x:v>Yes</x:v>
      </x:c>
      <x:c r="K104" s="11" t="str">
        <x:v>J. Smith</x:v>
      </x:c>
      <x:c r="L104" s="11" t="str">
        <x:v>Follow-up required</x:v>
      </x:c>
    </x:row>
    <x:row r="105">
      <x:c r="A105" s="14" t="n">
        <x:v>46217</x:v>
      </x:c>
      <x:c r="B105" s="11" t="str">
        <x:v>REC-1104</x:v>
      </x:c>
      <x:c r="C105" s="11" t="str">
        <x:v>Team Bravo</x:v>
      </x:c>
      <x:c r="D105" s="11" t="str">
        <x:v>Personnel</x:v>
      </x:c>
      <x:c r="E105" s="16" t="n">
        <x:v>46217.38055555556</x:v>
      </x:c>
      <x:c r="F105" s="16" t="n">
        <x:v>46217.38888888889</x:v>
      </x:c>
      <x:c r="G105" s="11" t="n">
        <x:f>ROUND((F105-E105)*1440,0)</x:f>
        <x:v>12</x:v>
      </x:c>
      <x:c r="H105" s="11" t="str">
        <x:v>In Progress</x:v>
      </x:c>
      <x:c r="I105" s="18" t="n">
        <x:v>88</x:v>
      </x:c>
      <x:c r="J105" s="11" t="str">
        <x:f>IF(G105&lt;=15,"Yes","No")</x:f>
        <x:v>Yes</x:v>
      </x:c>
      <x:c r="K105" s="11" t="str">
        <x:v>A. Davis</x:v>
      </x:c>
      <x:c r="L105" s="11" t="str">
        <x:v>Pending supporting documentation</x:v>
      </x:c>
    </x:row>
    <x:row r="106">
      <x:c r="A106" s="14" t="n">
        <x:v>46218</x:v>
      </x:c>
      <x:c r="B106" s="11" t="str">
        <x:v>REC-1105</x:v>
      </x:c>
      <x:c r="C106" s="11" t="str">
        <x:v>Team Charlie</x:v>
      </x:c>
      <x:c r="D106" s="11" t="str">
        <x:v>Logistics</x:v>
      </x:c>
      <x:c r="E106" s="16" t="n">
        <x:v>46218.510416666664</x:v>
      </x:c>
      <x:c r="F106" s="16" t="n">
        <x:v>46218.51388888889</x:v>
      </x:c>
      <x:c r="G106" s="11" t="n">
        <x:f>ROUND((F106-E106)*1440,0)</x:f>
        <x:v>5</x:v>
      </x:c>
      <x:c r="H106" s="11" t="str">
        <x:v>Complete</x:v>
      </x:c>
      <x:c r="I106" s="18" t="n">
        <x:v>100</x:v>
      </x:c>
      <x:c r="J106" s="11" t="str">
        <x:f>IF(G106&lt;=15,"Yes","No")</x:f>
        <x:v>Yes</x:v>
      </x:c>
      <x:c r="K106" s="11" t="str">
        <x:v>R. Lee</x:v>
      </x:c>
      <x:c r="L106" s="11" t="str">
        <x:v>Pending supporting documentation</x:v>
      </x:c>
    </x:row>
    <x:row r="107">
      <x:c r="A107" s="14" t="n">
        <x:v>46219</x:v>
      </x:c>
      <x:c r="B107" s="11" t="str">
        <x:v>REC-1106</x:v>
      </x:c>
      <x:c r="C107" s="11" t="str">
        <x:v>Operations</x:v>
      </x:c>
      <x:c r="D107" s="11" t="str">
        <x:v>Medical</x:v>
      </x:c>
      <x:c r="E107" s="16" t="n">
        <x:v>46219.64027777778</x:v>
      </x:c>
      <x:c r="F107" s="16" t="n">
        <x:v>46219.638194444444</x:v>
      </x:c>
      <x:c r="G107" s="11" t="n">
        <x:f>ROUND((F107-E107)*1440,0)</x:f>
        <x:v>-3</x:v>
      </x:c>
      <x:c r="H107" s="11" t="str">
        <x:v>Complete</x:v>
      </x:c>
      <x:c r="I107" s="18" t="n">
        <x:v>88</x:v>
      </x:c>
      <x:c r="J107" s="11" t="str">
        <x:f>IF(G107&lt;=15,"Yes","No")</x:f>
        <x:v>Yes</x:v>
      </x:c>
      <x:c r="K107" s="11" t="str">
        <x:v>M. Carter</x:v>
      </x:c>
      <x:c r="L107" s="11" t="str">
        <x:v>No exceptions identified</x:v>
      </x:c>
    </x:row>
    <x:row r="108">
      <x:c r="A108" s="14" t="n">
        <x:v>46220</x:v>
      </x:c>
      <x:c r="B108" s="11" t="str">
        <x:v>REC-1107</x:v>
      </x:c>
      <x:c r="C108" s="11" t="str">
        <x:v>Support</x:v>
      </x:c>
      <x:c r="D108" s="11" t="str">
        <x:v>Personnel</x:v>
      </x:c>
      <x:c r="E108" s="16" t="n">
        <x:v>46220.353472222225</x:v>
      </x:c>
      <x:c r="F108" s="16" t="n">
        <x:v>46220.356944444444</x:v>
      </x:c>
      <x:c r="G108" s="11" t="n">
        <x:f>ROUND((F108-E108)*1440,0)</x:f>
        <x:v>5</x:v>
      </x:c>
      <x:c r="H108" s="11" t="str">
        <x:v>Complete</x:v>
      </x:c>
      <x:c r="I108" s="18" t="n">
        <x:v>95</x:v>
      </x:c>
      <x:c r="J108" s="11" t="str">
        <x:f>IF(G108&lt;=15,"Yes","No")</x:f>
        <x:v>Yes</x:v>
      </x:c>
      <x:c r="K108" s="11" t="str">
        <x:v>J. Smith</x:v>
      </x:c>
      <x:c r="L108" s="11" t="str">
        <x:v>Reviewed with team lead</x:v>
      </x:c>
    </x:row>
    <x:row r="109">
      <x:c r="A109" s="14" t="n">
        <x:v>46221</x:v>
      </x:c>
      <x:c r="B109" s="11" t="str">
        <x:v>REC-1108</x:v>
      </x:c>
      <x:c r="C109" s="11" t="str">
        <x:v>Finance</x:v>
      </x:c>
      <x:c r="D109" s="11" t="str">
        <x:v>Logistics</x:v>
      </x:c>
      <x:c r="E109" s="16" t="n">
        <x:v>46221.48333333333</x:v>
      </x:c>
      <x:c r="F109" s="16" t="n">
        <x:v>46221.489583333336</x:v>
      </x:c>
      <x:c r="G109" s="11" t="n">
        <x:f>ROUND((F109-E109)*1440,0)</x:f>
        <x:v>9</x:v>
      </x:c>
      <x:c r="H109" s="11" t="str">
        <x:v>In Progress</x:v>
      </x:c>
      <x:c r="I109" s="18" t="n">
        <x:v>82</x:v>
      </x:c>
      <x:c r="J109" s="11" t="str">
        <x:f>IF(G109&lt;=15,"Yes","No")</x:f>
        <x:v>Yes</x:v>
      </x:c>
      <x:c r="K109" s="11" t="str">
        <x:v>A. Davis</x:v>
      </x:c>
      <x:c r="L109" s="11" t="str">
        <x:v>Follow-up required</x:v>
      </x:c>
    </x:row>
    <x:row r="110">
      <x:c r="A110" s="14" t="n">
        <x:v>46222</x:v>
      </x:c>
      <x:c r="B110" s="11" t="str">
        <x:v>REC-1109</x:v>
      </x:c>
      <x:c r="C110" s="11" t="str">
        <x:v>Team Alpha</x:v>
      </x:c>
      <x:c r="D110" s="11" t="str">
        <x:v>Medical</x:v>
      </x:c>
      <x:c r="E110" s="16" t="n">
        <x:v>46222.61319444444</x:v>
      </x:c>
      <x:c r="F110" s="16" t="n">
        <x:v>46222.60763888889</x:v>
      </x:c>
      <x:c r="G110" s="11" t="n">
        <x:f>ROUND((F110-E110)*1440,0)</x:f>
        <x:v>-8</x:v>
      </x:c>
      <x:c r="H110" s="11" t="str">
        <x:v>In Progress</x:v>
      </x:c>
      <x:c r="I110" s="18" t="n">
        <x:v>87</x:v>
      </x:c>
      <x:c r="J110" s="11" t="str">
        <x:f>IF(G110&lt;=15,"Yes","No")</x:f>
        <x:v>Yes</x:v>
      </x:c>
      <x:c r="K110" s="11" t="str">
        <x:v>R. Lee</x:v>
      </x:c>
      <x:c r="L110" s="11" t="str">
        <x:v>Reviewed with team lead</x:v>
      </x:c>
    </x:row>
    <x:row r="111">
      <x:c r="A111" s="14" t="n">
        <x:v>46223</x:v>
      </x:c>
      <x:c r="B111" s="11" t="str">
        <x:v>REC-1110</x:v>
      </x:c>
      <x:c r="C111" s="11" t="str">
        <x:v>Team Bravo</x:v>
      </x:c>
      <x:c r="D111" s="11" t="str">
        <x:v>Personnel</x:v>
      </x:c>
      <x:c r="E111" s="16" t="n">
        <x:v>46223.32638888889</x:v>
      </x:c>
      <x:c r="F111" s="16" t="n">
        <x:v>46223.33263888889</x:v>
      </x:c>
      <x:c r="G111" s="11" t="n">
        <x:f>ROUND((F111-E111)*1440,0)</x:f>
        <x:v>9</x:v>
      </x:c>
      <x:c r="H111" s="11" t="str">
        <x:v>Needs Review</x:v>
      </x:c>
      <x:c r="I111" s="18" t="n">
        <x:v>83</x:v>
      </x:c>
      <x:c r="J111" s="11" t="str">
        <x:f>IF(G111&lt;=15,"Yes","No")</x:f>
        <x:v>Yes</x:v>
      </x:c>
      <x:c r="K111" s="11" t="str">
        <x:v>M. Carter</x:v>
      </x:c>
      <x:c r="L111" s="11" t="str">
        <x:v>Reviewed with team lead</x:v>
      </x:c>
    </x:row>
    <x:row r="112">
      <x:c r="A112" s="14" t="n">
        <x:v>46224</x:v>
      </x:c>
      <x:c r="B112" s="11" t="str">
        <x:v>REC-1111</x:v>
      </x:c>
      <x:c r="C112" s="11" t="str">
        <x:v>Team Charlie</x:v>
      </x:c>
      <x:c r="D112" s="11" t="str">
        <x:v>Logistics</x:v>
      </x:c>
      <x:c r="E112" s="16" t="n">
        <x:v>46224.45625</x:v>
      </x:c>
      <x:c r="F112" s="16" t="n">
        <x:v>46224.475694444445</x:v>
      </x:c>
      <x:c r="G112" s="11" t="n">
        <x:f>ROUND((F112-E112)*1440,0)</x:f>
        <x:v>28</x:v>
      </x:c>
      <x:c r="H112" s="11" t="str">
        <x:v>Complete</x:v>
      </x:c>
      <x:c r="I112" s="18" t="n">
        <x:v>96</x:v>
      </x:c>
      <x:c r="J112" s="11" t="str">
        <x:f>IF(G112&lt;=15,"Yes","No")</x:f>
        <x:v>No</x:v>
      </x:c>
      <x:c r="K112" s="11" t="str">
        <x:v>J. Smith</x:v>
      </x:c>
      <x:c r="L112" s="11" t="str">
        <x:v>Reviewed with team lead</x:v>
      </x:c>
    </x:row>
    <x:row r="113">
      <x:c r="A113" s="14" t="n">
        <x:v>46225</x:v>
      </x:c>
      <x:c r="B113" s="11" t="str">
        <x:v>REC-1112</x:v>
      </x:c>
      <x:c r="C113" s="11" t="str">
        <x:v>Operations</x:v>
      </x:c>
      <x:c r="D113" s="11" t="str">
        <x:v>Medical</x:v>
      </x:c>
      <x:c r="E113" s="16" t="n">
        <x:v>46225.544444444444</x:v>
      </x:c>
      <x:c r="F113" s="16" t="n">
        <x:v>46225.53888888889</x:v>
      </x:c>
      <x:c r="G113" s="11" t="n">
        <x:f>ROUND((F113-E113)*1440,0)</x:f>
        <x:v>-8</x:v>
      </x:c>
      <x:c r="H113" s="11" t="str">
        <x:v>Complete</x:v>
      </x:c>
      <x:c r="I113" s="18" t="n">
        <x:v>92</x:v>
      </x:c>
      <x:c r="J113" s="11" t="str">
        <x:f>IF(G113&lt;=15,"Yes","No")</x:f>
        <x:v>Yes</x:v>
      </x:c>
      <x:c r="K113" s="11" t="str">
        <x:v>A. Davis</x:v>
      </x:c>
      <x:c r="L113" s="11" t="str">
        <x:v>Follow-up required</x:v>
      </x:c>
    </x:row>
    <x:row r="114">
      <x:c r="A114" s="14" t="n">
        <x:v>46226</x:v>
      </x:c>
      <x:c r="B114" s="11" t="str">
        <x:v>REC-1113</x:v>
      </x:c>
      <x:c r="C114" s="11" t="str">
        <x:v>Support</x:v>
      </x:c>
      <x:c r="D114" s="11" t="str">
        <x:v>Personnel</x:v>
      </x:c>
      <x:c r="E114" s="16" t="n">
        <x:v>46226.674305555556</x:v>
      </x:c>
      <x:c r="F114" s="16" t="n">
        <x:v>46226.69861111111</x:v>
      </x:c>
      <x:c r="G114" s="11" t="n">
        <x:f>ROUND((F114-E114)*1440,0)</x:f>
        <x:v>35</x:v>
      </x:c>
      <x:c r="H114" s="11" t="str">
        <x:v>Delayed</x:v>
      </x:c>
      <x:c r="I114" s="18" t="n">
        <x:v>83</x:v>
      </x:c>
      <x:c r="J114" s="11" t="str">
        <x:f>IF(G114&lt;=15,"Yes","No")</x:f>
        <x:v>No</x:v>
      </x:c>
      <x:c r="K114" s="11" t="str">
        <x:v>R. Lee</x:v>
      </x:c>
      <x:c r="L114" s="11" t="str">
        <x:v>Validated against source record</x:v>
      </x:c>
    </x:row>
    <x:row r="115">
      <x:c r="A115" s="14" t="n">
        <x:v>46227</x:v>
      </x:c>
      <x:c r="B115" s="11" t="str">
        <x:v>REC-1114</x:v>
      </x:c>
      <x:c r="C115" s="11" t="str">
        <x:v>Finance</x:v>
      </x:c>
      <x:c r="D115" s="11" t="str">
        <x:v>Logistics</x:v>
      </x:c>
      <x:c r="E115" s="16" t="n">
        <x:v>46227.3875</x:v>
      </x:c>
      <x:c r="F115" s="16" t="n">
        <x:v>46227.385416666664</x:v>
      </x:c>
      <x:c r="G115" s="11" t="n">
        <x:f>ROUND((F115-E115)*1440,0)</x:f>
        <x:v>-3</x:v>
      </x:c>
      <x:c r="H115" s="11" t="str">
        <x:v>Complete</x:v>
      </x:c>
      <x:c r="I115" s="18" t="n">
        <x:v>93</x:v>
      </x:c>
      <x:c r="J115" s="11" t="str">
        <x:f>IF(G115&lt;=15,"Yes","No")</x:f>
        <x:v>Yes</x:v>
      </x:c>
      <x:c r="K115" s="11" t="str">
        <x:v>M. Carter</x:v>
      </x:c>
      <x:c r="L115" s="11" t="str">
        <x:v>Pending supporting documentation</x:v>
      </x:c>
    </x:row>
    <x:row r="116">
      <x:c r="A116" s="14" t="n">
        <x:v>46228</x:v>
      </x:c>
      <x:c r="B116" s="11" t="str">
        <x:v>REC-1115</x:v>
      </x:c>
      <x:c r="C116" s="11" t="str">
        <x:v>Team Alpha</x:v>
      </x:c>
      <x:c r="D116" s="11" t="str">
        <x:v>Medical</x:v>
      </x:c>
      <x:c r="E116" s="16" t="n">
        <x:v>46228.51736111111</x:v>
      </x:c>
      <x:c r="F116" s="16" t="n">
        <x:v>46228.52569444444</x:v>
      </x:c>
      <x:c r="G116" s="11" t="n">
        <x:f>ROUND((F116-E116)*1440,0)</x:f>
        <x:v>12</x:v>
      </x:c>
      <x:c r="H116" s="11" t="str">
        <x:v>Complete</x:v>
      </x:c>
      <x:c r="I116" s="18" t="n">
        <x:v>96</x:v>
      </x:c>
      <x:c r="J116" s="11" t="str">
        <x:f>IF(G116&lt;=15,"Yes","No")</x:f>
        <x:v>Yes</x:v>
      </x:c>
      <x:c r="K116" s="11" t="str">
        <x:v>J. Smith</x:v>
      </x:c>
      <x:c r="L116" s="11" t="str">
        <x:v>Validated against source record</x:v>
      </x:c>
    </x:row>
    <x:row r="117">
      <x:c r="A117" s="14" t="n">
        <x:v>46229</x:v>
      </x:c>
      <x:c r="B117" s="11" t="str">
        <x:v>REC-1116</x:v>
      </x:c>
      <x:c r="C117" s="11" t="str">
        <x:v>Team Bravo</x:v>
      </x:c>
      <x:c r="D117" s="11" t="str">
        <x:v>Personnel</x:v>
      </x:c>
      <x:c r="E117" s="16" t="n">
        <x:v>46229.64722222222</x:v>
      </x:c>
      <x:c r="F117" s="16" t="n">
        <x:v>46229.65833333333</x:v>
      </x:c>
      <x:c r="G117" s="11" t="n">
        <x:f>ROUND((F117-E117)*1440,0)</x:f>
        <x:v>16</x:v>
      </x:c>
      <x:c r="H117" s="11" t="str">
        <x:v>Needs Review</x:v>
      </x:c>
      <x:c r="I117" s="18" t="n">
        <x:v>81</x:v>
      </x:c>
      <x:c r="J117" s="11" t="str">
        <x:f>IF(G117&lt;=15,"Yes","No")</x:f>
        <x:v>No</x:v>
      </x:c>
      <x:c r="K117" s="11" t="str">
        <x:v>A. Davis</x:v>
      </x:c>
      <x:c r="L117" s="11" t="str">
        <x:v>Reviewed with team lead</x:v>
      </x:c>
    </x:row>
    <x:row r="118">
      <x:c r="A118" s="14" t="n">
        <x:v>46230</x:v>
      </x:c>
      <x:c r="B118" s="11" t="str">
        <x:v>REC-1117</x:v>
      </x:c>
      <x:c r="C118" s="11" t="str">
        <x:v>Team Charlie</x:v>
      </x:c>
      <x:c r="D118" s="11" t="str">
        <x:v>Logistics</x:v>
      </x:c>
      <x:c r="E118" s="16" t="n">
        <x:v>46230.36041666667</x:v>
      </x:c>
      <x:c r="F118" s="16" t="n">
        <x:v>46230.35486111111</x:v>
      </x:c>
      <x:c r="G118" s="11" t="n">
        <x:f>ROUND((F118-E118)*1440,0)</x:f>
        <x:v>-8</x:v>
      </x:c>
      <x:c r="H118" s="11" t="str">
        <x:v>In Progress</x:v>
      </x:c>
      <x:c r="I118" s="18" t="n">
        <x:v>75</x:v>
      </x:c>
      <x:c r="J118" s="11" t="str">
        <x:f>IF(G118&lt;=15,"Yes","No")</x:f>
        <x:v>Yes</x:v>
      </x:c>
      <x:c r="K118" s="11" t="str">
        <x:v>R. Lee</x:v>
      </x:c>
      <x:c r="L118" s="11" t="str">
        <x:v>Corrected missing field</x:v>
      </x:c>
    </x:row>
    <x:row r="119">
      <x:c r="A119" s="14" t="n">
        <x:v>46231</x:v>
      </x:c>
      <x:c r="B119" s="11" t="str">
        <x:v>REC-1118</x:v>
      </x:c>
      <x:c r="C119" s="11" t="str">
        <x:v>Operations</x:v>
      </x:c>
      <x:c r="D119" s="11" t="str">
        <x:v>Medical</x:v>
      </x:c>
      <x:c r="E119" s="16" t="n">
        <x:v>46231.490277777775</x:v>
      </x:c>
      <x:c r="F119" s="16" t="n">
        <x:v>46231.509722222225</x:v>
      </x:c>
      <x:c r="G119" s="11" t="n">
        <x:f>ROUND((F119-E119)*1440,0)</x:f>
        <x:v>28</x:v>
      </x:c>
      <x:c r="H119" s="11" t="str">
        <x:v>In Progress</x:v>
      </x:c>
      <x:c r="I119" s="18" t="n">
        <x:v>96</x:v>
      </x:c>
      <x:c r="J119" s="11" t="str">
        <x:f>IF(G119&lt;=15,"Yes","No")</x:f>
        <x:v>No</x:v>
      </x:c>
      <x:c r="K119" s="11" t="str">
        <x:v>M. Carter</x:v>
      </x:c>
      <x:c r="L119" s="11" t="str">
        <x:v>Follow-up required</x:v>
      </x:c>
    </x:row>
    <x:row r="120">
      <x:c r="A120" s="14" t="n">
        <x:v>46232</x:v>
      </x:c>
      <x:c r="B120" s="11" t="str">
        <x:v>REC-1119</x:v>
      </x:c>
      <x:c r="C120" s="11" t="str">
        <x:v>Support</x:v>
      </x:c>
      <x:c r="D120" s="11" t="str">
        <x:v>Personnel</x:v>
      </x:c>
      <x:c r="E120" s="16" t="n">
        <x:v>46232.62013888889</x:v>
      </x:c>
      <x:c r="F120" s="16" t="n">
        <x:v>46232.62847222222</x:v>
      </x:c>
      <x:c r="G120" s="11" t="n">
        <x:f>ROUND((F120-E120)*1440,0)</x:f>
        <x:v>12</x:v>
      </x:c>
      <x:c r="H120" s="11" t="str">
        <x:v>Complete</x:v>
      </x:c>
      <x:c r="I120" s="18" t="n">
        <x:v>98</x:v>
      </x:c>
      <x:c r="J120" s="11" t="str">
        <x:f>IF(G120&lt;=15,"Yes","No")</x:f>
        <x:v>Yes</x:v>
      </x:c>
      <x:c r="K120" s="11" t="str">
        <x:v>J. Smith</x:v>
      </x:c>
      <x:c r="L120" s="11" t="str">
        <x:v>Reviewed with team lead</x:v>
      </x:c>
    </x:row>
    <x:row r="121">
      <x:c r="A121" s="14" t="n">
        <x:v>46233</x:v>
      </x:c>
      <x:c r="B121" s="11" t="str">
        <x:v>REC-1120</x:v>
      </x:c>
      <x:c r="C121" s="11" t="str">
        <x:v>Finance</x:v>
      </x:c>
      <x:c r="D121" s="11" t="str">
        <x:v>Logistics</x:v>
      </x:c>
      <x:c r="E121" s="16" t="n">
        <x:v>46233.291666666664</x:v>
      </x:c>
      <x:c r="F121" s="16" t="n">
        <x:v>46233.31597222222</x:v>
      </x:c>
      <x:c r="G121" s="11" t="n">
        <x:f>ROUND((F121-E121)*1440,0)</x:f>
        <x:v>35</x:v>
      </x:c>
      <x:c r="H121" s="11" t="str">
        <x:v>Complete</x:v>
      </x:c>
      <x:c r="I121" s="18" t="n">
        <x:v>89</x:v>
      </x:c>
      <x:c r="J121" s="11" t="str">
        <x:f>IF(G121&lt;=15,"Yes","No")</x:f>
        <x:v>No</x:v>
      </x:c>
      <x:c r="K121" s="11" t="str">
        <x:v>A. Davis</x:v>
      </x:c>
      <x:c r="L121" s="11" t="str">
        <x:v>Pending supporting documentation</x:v>
      </x:c>
    </x:row>
  </x:sheetData>
  <x:conditionalFormatting sqref="G2:G1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2:I121">
    <x:cfRule type="dataBar" priority="2">
      <x:dataBar>
        <x:cfvo type="min"/>
        <x:cfvo type="max"/>
        <x:color rgb="FF2AA198"/>
      </x:dataBar>
      <x:extLst>
        <x:ext xmlns:x14="http://schemas.microsoft.com/office/spreadsheetml/2009/9/main" uri="{B025F937-C7B1-47D3-B67F-A62EFF666E3E}">
          <x14:id>{B9520507-A64C-D871-2859-7E76C040CD4C}</x14:id>
        </x:ext>
      </x:extLst>
    </x:cfRule>
  </x:conditionalFormatting>
  <x:conditionalFormatting sqref="H2:H121">
    <x:cfRule type="expression" dxfId="0" priority="3">
      <x:formula>H2="Delayed"</x:formula>
    </x:cfRule>
    <x:cfRule type="expression" dxfId="1" priority="4">
      <x:formula>H2="Needs Review"</x:formula>
    </x:cfRule>
  </x:conditionalFormatting>
  <x:dataValidations count="4">
    <x:dataValidation type="list" sqref="C2:C121">
      <x:formula1>'Reference Data'!$A$2:$A$7</x:formula1>
    </x:dataValidation>
    <x:dataValidation type="list" sqref="D2:D121">
      <x:formula1>'Reference Data'!$B$2:$B$7</x:formula1>
    </x:dataValidation>
    <x:dataValidation type="list" sqref="H2:H121">
      <x:formula1>'Reference Data'!$C$2:$C$5</x:formula1>
    </x:dataValidation>
    <x:dataValidation type="list" sqref="K2:K121">
      <x:formula1>'Reference Data'!$D$2:$D$5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f7947e982a4ed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9520507-A64C-D871-2859-7E76C040CD4C}">
            <x14:dataBar gradient="1">
              <x14:cfvo type="min"/>
              <x14:cfvo type="max"/>
              <x14:fillColor rgb="FF2AA198"/>
            </x14:dataBar>
          </x14:cfRule>
          <xm:sqref>I2:I121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3" hidden="0" customWidth="1"/>
    <x:col min="5" max="5" width="12" hidden="0" customWidth="1"/>
    <x:col min="6" max="6" width="13" hidden="0" customWidth="1"/>
    <x:col min="7" max="7" width="11" hidden="0" customWidth="1"/>
    <x:col min="8" max="8" width="28" hidden="0" customWidth="1"/>
  </x:cols>
  <x:sheetData>
    <x:row r="1">
      <x:c r="A1" s="4" t="str">
        <x:v>Asset / Process</x:v>
      </x:c>
      <x:c r="B1" s="4" t="str">
        <x:v>Owner</x:v>
      </x:c>
      <x:c r="C1" s="4" t="str">
        <x:v>Current Status</x:v>
      </x:c>
      <x:c r="D1" s="4" t="str">
        <x:v>Availability</x:v>
      </x:c>
      <x:c r="E1" s="4" t="str">
        <x:v>Open Issues</x:v>
      </x:c>
      <x:c r="F1" s="4" t="str">
        <x:v>Last Updated</x:v>
      </x:c>
      <x:c r="G1" s="4" t="str">
        <x:v>Priority</x:v>
      </x:c>
      <x:c r="H1" s="4" t="str">
        <x:v>Next Action</x:v>
      </x:c>
    </x:row>
    <x:row r="2">
      <x:c r="A2" s="11" t="str">
        <x:v>Data Collection App</x:v>
      </x:c>
      <x:c r="B2" s="11" t="str">
        <x:v>A. Davis</x:v>
      </x:c>
      <x:c r="C2" s="11" t="str">
        <x:v>Operational</x:v>
      </x:c>
      <x:c r="D2" s="20" t="n">
        <x:v>99</x:v>
      </x:c>
      <x:c r="E2" s="11" t="n">
        <x:v>0</x:v>
      </x:c>
      <x:c r="F2" s="14" t="n">
        <x:v>46235</x:v>
      </x:c>
      <x:c r="G2" s="11" t="str">
        <x:v>Medium</x:v>
      </x:c>
      <x:c r="H2" s="11" t="str">
        <x:v>Continue monitoring</x:v>
      </x:c>
    </x:row>
    <x:row r="3">
      <x:c r="A3" s="11" t="str">
        <x:v>Leadership Dashboard</x:v>
      </x:c>
      <x:c r="B3" s="11" t="str">
        <x:v>J. Smith</x:v>
      </x:c>
      <x:c r="C3" s="11" t="str">
        <x:v>Operational</x:v>
      </x:c>
      <x:c r="D3" s="20" t="n">
        <x:v>97</x:v>
      </x:c>
      <x:c r="E3" s="11" t="n">
        <x:v>1</x:v>
      </x:c>
      <x:c r="F3" s="14" t="n">
        <x:v>46236</x:v>
      </x:c>
      <x:c r="G3" s="11" t="str">
        <x:v>Low</x:v>
      </x:c>
      <x:c r="H3" s="11" t="str">
        <x:v>Review source connection</x:v>
      </x:c>
    </x:row>
    <x:row r="4">
      <x:c r="A4" s="11" t="str">
        <x:v>Daily Summary</x:v>
      </x:c>
      <x:c r="B4" s="11" t="str">
        <x:v>M. Carter</x:v>
      </x:c>
      <x:c r="C4" s="11" t="str">
        <x:v>Needs Review</x:v>
      </x:c>
      <x:c r="D4" s="20" t="n">
        <x:v>91</x:v>
      </x:c>
      <x:c r="E4" s="11" t="n">
        <x:v>3</x:v>
      </x:c>
      <x:c r="F4" s="14" t="n">
        <x:v>46237</x:v>
      </x:c>
      <x:c r="G4" s="11" t="str">
        <x:v>High</x:v>
      </x:c>
      <x:c r="H4" s="11" t="str">
        <x:v>Resolve missing records</x:v>
      </x:c>
    </x:row>
    <x:row r="5">
      <x:c r="A5" s="11" t="str">
        <x:v>Logistics Tracker</x:v>
      </x:c>
      <x:c r="B5" s="11" t="str">
        <x:v>R. Lee</x:v>
      </x:c>
      <x:c r="C5" s="11" t="str">
        <x:v>Operational</x:v>
      </x:c>
      <x:c r="D5" s="20" t="n">
        <x:v>96</x:v>
      </x:c>
      <x:c r="E5" s="11" t="n">
        <x:v>0</x:v>
      </x:c>
      <x:c r="F5" s="14" t="n">
        <x:v>46238</x:v>
      </x:c>
      <x:c r="G5" s="11" t="str">
        <x:v>Medium</x:v>
      </x:c>
      <x:c r="H5" s="11" t="str">
        <x:v>Validate next reporting cycle</x:v>
      </x:c>
    </x:row>
    <x:row r="6">
      <x:c r="A6" s="11" t="str">
        <x:v>Medical Reporting</x:v>
      </x:c>
      <x:c r="B6" s="11" t="str">
        <x:v>A. Davis</x:v>
      </x:c>
      <x:c r="C6" s="11" t="str">
        <x:v>Limited</x:v>
      </x:c>
      <x:c r="D6" s="20" t="n">
        <x:v>84</x:v>
      </x:c>
      <x:c r="E6" s="11" t="n">
        <x:v>4</x:v>
      </x:c>
      <x:c r="F6" s="14" t="n">
        <x:v>46239</x:v>
      </x:c>
      <x:c r="G6" s="11" t="str">
        <x:v>High</x:v>
      </x:c>
      <x:c r="H6" s="11" t="str">
        <x:v>Update reference values</x:v>
      </x:c>
    </x:row>
    <x:row r="7">
      <x:c r="A7" s="11" t="str">
        <x:v>Safety Reporting</x:v>
      </x:c>
      <x:c r="B7" s="11" t="str">
        <x:v>J. Smith</x:v>
      </x:c>
      <x:c r="C7" s="11" t="str">
        <x:v>Operational</x:v>
      </x:c>
      <x:c r="D7" s="20" t="n">
        <x:v>98</x:v>
      </x:c>
      <x:c r="E7" s="11" t="n">
        <x:v>1</x:v>
      </x:c>
      <x:c r="F7" s="14" t="n">
        <x:v>46235</x:v>
      </x:c>
      <x:c r="G7" s="11" t="str">
        <x:v>Low</x:v>
      </x:c>
      <x:c r="H7" s="11" t="str">
        <x:v>Confirm stakeholder feedback</x:v>
      </x:c>
    </x:row>
    <x:row r="8">
      <x:c r="A8" s="11" t="str">
        <x:v>Personnel Tracker</x:v>
      </x:c>
      <x:c r="B8" s="11" t="str">
        <x:v>M. Carter</x:v>
      </x:c>
      <x:c r="C8" s="11" t="str">
        <x:v>Operational</x:v>
      </x:c>
      <x:c r="D8" s="20" t="n">
        <x:v>99</x:v>
      </x:c>
      <x:c r="E8" s="11" t="n">
        <x:v>0</x:v>
      </x:c>
      <x:c r="F8" s="14" t="n">
        <x:v>46236</x:v>
      </x:c>
      <x:c r="G8" s="11" t="str">
        <x:v>Medium</x:v>
      </x:c>
      <x:c r="H8" s="11" t="str">
        <x:v>Continue monitoring</x:v>
      </x:c>
    </x:row>
    <x:row r="9">
      <x:c r="A9" s="11" t="str">
        <x:v>Quality Review Queue</x:v>
      </x:c>
      <x:c r="B9" s="11" t="str">
        <x:v>R. Lee</x:v>
      </x:c>
      <x:c r="C9" s="11" t="str">
        <x:v>Operational</x:v>
      </x:c>
      <x:c r="D9" s="20" t="n">
        <x:v>97</x:v>
      </x:c>
      <x:c r="E9" s="11" t="n">
        <x:v>1</x:v>
      </x:c>
      <x:c r="F9" s="14" t="n">
        <x:v>46237</x:v>
      </x:c>
      <x:c r="G9" s="11" t="str">
        <x:v>Low</x:v>
      </x:c>
      <x:c r="H9" s="11" t="str">
        <x:v>Review source connection</x:v>
      </x:c>
    </x:row>
    <x:row r="10">
      <x:c r="A10" s="11" t="str">
        <x:v>Submission Workflow</x:v>
      </x:c>
      <x:c r="B10" s="11" t="str">
        <x:v>A. Davis</x:v>
      </x:c>
      <x:c r="C10" s="11" t="str">
        <x:v>Needs Review</x:v>
      </x:c>
      <x:c r="D10" s="20" t="n">
        <x:v>91</x:v>
      </x:c>
      <x:c r="E10" s="11" t="n">
        <x:v>3</x:v>
      </x:c>
      <x:c r="F10" s="14" t="n">
        <x:v>46238</x:v>
      </x:c>
      <x:c r="G10" s="11" t="str">
        <x:v>High</x:v>
      </x:c>
      <x:c r="H10" s="11" t="str">
        <x:v>Resolve missing records</x:v>
      </x:c>
    </x:row>
    <x:row r="11">
      <x:c r="A11" s="11" t="str">
        <x:v>SharePoint Reporting Site</x:v>
      </x:c>
      <x:c r="B11" s="11" t="str">
        <x:v>J. Smith</x:v>
      </x:c>
      <x:c r="C11" s="11" t="str">
        <x:v>Operational</x:v>
      </x:c>
      <x:c r="D11" s="20" t="n">
        <x:v>96</x:v>
      </x:c>
      <x:c r="E11" s="11" t="n">
        <x:v>0</x:v>
      </x:c>
      <x:c r="F11" s="14" t="n">
        <x:v>46239</x:v>
      </x:c>
      <x:c r="G11" s="11" t="str">
        <x:v>Medium</x:v>
      </x:c>
      <x:c r="H11" s="11" t="str">
        <x:v>Validate next reporting cycle</x:v>
      </x:c>
    </x:row>
    <x:row r="12">
      <x:c r="A12" s="11" t="str">
        <x:v>Monthly Trend Report</x:v>
      </x:c>
      <x:c r="B12" s="11" t="str">
        <x:v>M. Carter</x:v>
      </x:c>
      <x:c r="C12" s="11" t="str">
        <x:v>Limited</x:v>
      </x:c>
      <x:c r="D12" s="20" t="n">
        <x:v>84</x:v>
      </x:c>
      <x:c r="E12" s="11" t="n">
        <x:v>4</x:v>
      </x:c>
      <x:c r="F12" s="14" t="n">
        <x:v>46235</x:v>
      </x:c>
      <x:c r="G12" s="11" t="str">
        <x:v>High</x:v>
      </x:c>
      <x:c r="H12" s="11" t="str">
        <x:v>Update reference values</x:v>
      </x:c>
    </x:row>
    <x:row r="13">
      <x:c r="A13" s="11" t="str">
        <x:v>Reference Data</x:v>
      </x:c>
      <x:c r="B13" s="11" t="str">
        <x:v>R. Lee</x:v>
      </x:c>
      <x:c r="C13" s="11" t="str">
        <x:v>Operational</x:v>
      </x:c>
      <x:c r="D13" s="20" t="n">
        <x:v>98</x:v>
      </x:c>
      <x:c r="E13" s="11" t="n">
        <x:v>1</x:v>
      </x:c>
      <x:c r="F13" s="14" t="n">
        <x:v>46236</x:v>
      </x:c>
      <x:c r="G13" s="11" t="str">
        <x:v>Low</x:v>
      </x:c>
      <x:c r="H13" s="11" t="str">
        <x:v>Confirm stakeholder feedback</x:v>
      </x:c>
    </x:row>
  </x:sheetData>
  <x:conditionalFormatting sqref="C2:C13">
    <x:cfRule type="expression" dxfId="2" priority="1">
      <x:formula>C2="Operational"</x:formula>
    </x:cfRule>
    <x:cfRule type="expression" dxfId="3" priority="2">
      <x:formula>C2="Needs Review"</x:formula>
    </x:cfRule>
    <x:cfRule type="expression" dxfId="4" priority="3">
      <x:formula>C2="Limited"</x:formula>
    </x:cfRule>
  </x:conditionalFormatting>
  <x:conditionalFormatting sqref="D2:D13">
    <x:cfRule type="dataBar" priority="4">
      <x:dataBar>
        <x:cfvo type="min"/>
        <x:cfvo type="max"/>
        <x:color rgb="FF2AA198"/>
      </x:dataBar>
      <x:extLst>
        <x:ext xmlns:x14="http://schemas.microsoft.com/office/spreadsheetml/2009/9/main" uri="{B025F937-C7B1-47D3-B67F-A62EFF666E3E}">
          <x14:id>{6B5BFA1C-E557-3AC9-8E9F-03955E3EDA7D}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fd2d05b5f4d46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B5BFA1C-E557-3AC9-8E9F-03955E3EDA7D}">
            <x14:dataBar gradient="1">
              <x14:cfvo type="min"/>
              <x14:cfvo type="max"/>
              <x14:fillColor rgb="FF2AA198"/>
            </x14:dataBar>
          </x14:cfRule>
          <xm:sqref>D2:D13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0.75" hidden="0" customWidth="1"/>
    <x:col min="3" max="3" width="8.880000114440918" hidden="0" customWidth="1"/>
    <x:col min="4" max="4" width="10.880000114440918" hidden="0" customWidth="1"/>
    <x:col min="5" max="5" width="12.630000114440918" hidden="0" customWidth="1"/>
    <x:col min="7" max="7" width="9.380000114440918" hidden="0" customWidth="1"/>
    <x:col min="8" max="8" width="6.630000114440918" hidden="0" customWidth="1"/>
    <x:col min="9" max="9" width="7" hidden="0" customWidth="1"/>
    <x:col min="10" max="10" width="12.630000114440918" hidden="0" customWidth="1"/>
  </x:cols>
  <x:sheetData>
    <x:row r="1">
      <x:c r="A1" s="3" t="str">
        <x:v>Team</x:v>
      </x:c>
      <x:c r="B1" s="3" t="str">
        <x:v>Total Records</x:v>
      </x:c>
      <x:c r="C1" s="3" t="str">
        <x:v>Completed</x:v>
      </x:c>
      <x:c r="D1" s="3" t="str">
        <x:v>On-Time Rate</x:v>
      </x:c>
      <x:c r="E1" s="3" t="str">
        <x:v>Average Quality</x:v>
      </x:c>
      <x:c r="G1" s="3" t="str">
        <x:v>Date</x:v>
      </x:c>
      <x:c r="H1" s="3" t="str">
        <x:v>Records</x:v>
      </x:c>
      <x:c r="I1" s="3" t="str">
        <x:v>On-Time</x:v>
      </x:c>
      <x:c r="J1" s="3" t="str">
        <x:v>Average Quality</x:v>
      </x:c>
    </x:row>
    <x:row r="2">
      <x:c r="A2" t="str">
        <x:v>Team Alpha</x:v>
      </x:c>
      <x:c r="B2" t="n">
        <x:f>COUNTIF('Activity Log'!$C$2:$C$121,A2)</x:f>
        <x:v>20</x:v>
      </x:c>
      <x:c r="C2" t="n">
        <x:f>COUNTIFS('Activity Log'!$C$2:$C$121,A2,'Activity Log'!$H$2:$H$121,"Complete")</x:f>
        <x:v>13</x:v>
      </x:c>
      <x:c r="D2" s="22" t="n">
        <x:f>COUNTIFS('Activity Log'!$C$2:$C$121,A2,'Activity Log'!$J$2:$J$121,"Yes")/B2</x:f>
        <x:v>0.75</x:v>
      </x:c>
      <x:c r="E2" s="24" t="n">
        <x:f>AVERAGEIF('Activity Log'!$C$2:$C$121,A2,'Activity Log'!$I$2:$I$121)</x:f>
        <x:v>89.5</x:v>
      </x:c>
      <x:c r="G2" s="26" t="n">
        <x:v>46204</x:v>
      </x:c>
      <x:c r="H2" t="n">
        <x:f>COUNTIF('Activity Log'!$A$2:$A$121,G2)</x:f>
        <x:v>4</x:v>
      </x:c>
      <x:c r="I2" t="n">
        <x:f>COUNTIFS('Activity Log'!$A$2:$A$121,G2,'Activity Log'!$J$2:$J$121,"Yes")</x:f>
        <x:v>3</x:v>
      </x:c>
      <x:c r="J2" s="24" t="n">
        <x:f>AVERAGEIF('Activity Log'!$A$2:$A$121,G2,'Activity Log'!$I$2:$I$121)</x:f>
        <x:v>95</x:v>
      </x:c>
    </x:row>
    <x:row r="3">
      <x:c r="A3" t="str">
        <x:v>Team Bravo</x:v>
      </x:c>
      <x:c r="B3" t="n">
        <x:f>COUNTIF('Activity Log'!$C$2:$C$121,A3)</x:f>
        <x:v>20</x:v>
      </x:c>
      <x:c r="C3" t="n">
        <x:f>COUNTIFS('Activity Log'!$C$2:$C$121,A3,'Activity Log'!$H$2:$H$121,"Complete")</x:f>
        <x:v>11</x:v>
      </x:c>
      <x:c r="D3" s="22" t="n">
        <x:f>COUNTIFS('Activity Log'!$C$2:$C$121,A3,'Activity Log'!$J$2:$J$121,"Yes")/B3</x:f>
        <x:v>0.65</x:v>
      </x:c>
      <x:c r="E3" s="24" t="n">
        <x:f>AVERAGEIF('Activity Log'!$C$2:$C$121,A3,'Activity Log'!$I$2:$I$121)</x:f>
        <x:v>88.1</x:v>
      </x:c>
      <x:c r="G3" s="26" t="n">
        <x:v>46205</x:v>
      </x:c>
      <x:c r="H3" t="n">
        <x:f>COUNTIF('Activity Log'!$A$2:$A$121,G3)</x:f>
        <x:v>4</x:v>
      </x:c>
      <x:c r="I3" t="n">
        <x:f>COUNTIFS('Activity Log'!$A$2:$A$121,G3,'Activity Log'!$J$2:$J$121,"Yes")</x:f>
        <x:v>2</x:v>
      </x:c>
      <x:c r="J3" s="24" t="n">
        <x:f>AVERAGEIF('Activity Log'!$A$2:$A$121,G3,'Activity Log'!$I$2:$I$121)</x:f>
        <x:v>90</x:v>
      </x:c>
    </x:row>
    <x:row r="4">
      <x:c r="A4" t="str">
        <x:v>Team Charlie</x:v>
      </x:c>
      <x:c r="B4" t="n">
        <x:f>COUNTIF('Activity Log'!$C$2:$C$121,A4)</x:f>
        <x:v>20</x:v>
      </x:c>
      <x:c r="C4" t="n">
        <x:f>COUNTIFS('Activity Log'!$C$2:$C$121,A4,'Activity Log'!$H$2:$H$121,"Complete")</x:f>
        <x:v>13</x:v>
      </x:c>
      <x:c r="D4" s="22" t="n">
        <x:f>COUNTIFS('Activity Log'!$C$2:$C$121,A4,'Activity Log'!$J$2:$J$121,"Yes")/B4</x:f>
        <x:v>0.5</x:v>
      </x:c>
      <x:c r="E4" s="24" t="n">
        <x:f>AVERAGEIF('Activity Log'!$C$2:$C$121,A4,'Activity Log'!$I$2:$I$121)</x:f>
        <x:v>89.75</x:v>
      </x:c>
      <x:c r="G4" s="26" t="n">
        <x:v>46206</x:v>
      </x:c>
      <x:c r="H4" t="n">
        <x:f>COUNTIF('Activity Log'!$A$2:$A$121,G4)</x:f>
        <x:v>4</x:v>
      </x:c>
      <x:c r="I4" t="n">
        <x:f>COUNTIFS('Activity Log'!$A$2:$A$121,G4,'Activity Log'!$J$2:$J$121,"Yes")</x:f>
        <x:v>1</x:v>
      </x:c>
      <x:c r="J4" s="24" t="n">
        <x:f>AVERAGEIF('Activity Log'!$A$2:$A$121,G4,'Activity Log'!$I$2:$I$121)</x:f>
        <x:v>80.5</x:v>
      </x:c>
    </x:row>
    <x:row r="5">
      <x:c r="A5" t="str">
        <x:v>Operations</x:v>
      </x:c>
      <x:c r="B5" t="n">
        <x:f>COUNTIF('Activity Log'!$C$2:$C$121,A5)</x:f>
        <x:v>20</x:v>
      </x:c>
      <x:c r="C5" t="n">
        <x:f>COUNTIFS('Activity Log'!$C$2:$C$121,A5,'Activity Log'!$H$2:$H$121,"Complete")</x:f>
        <x:v>13</x:v>
      </x:c>
      <x:c r="D5" s="22" t="n">
        <x:f>COUNTIFS('Activity Log'!$C$2:$C$121,A5,'Activity Log'!$J$2:$J$121,"Yes")/B5</x:f>
        <x:v>0.75</x:v>
      </x:c>
      <x:c r="E5" s="24" t="n">
        <x:f>AVERAGEIF('Activity Log'!$C$2:$C$121,A5,'Activity Log'!$I$2:$I$121)</x:f>
        <x:v>92.55</x:v>
      </x:c>
      <x:c r="G5" s="26" t="n">
        <x:v>46207</x:v>
      </x:c>
      <x:c r="H5" t="n">
        <x:f>COUNTIF('Activity Log'!$A$2:$A$121,G5)</x:f>
        <x:v>4</x:v>
      </x:c>
      <x:c r="I5" t="n">
        <x:f>COUNTIFS('Activity Log'!$A$2:$A$121,G5,'Activity Log'!$J$2:$J$121,"Yes")</x:f>
        <x:v>3</x:v>
      </x:c>
      <x:c r="J5" s="24" t="n">
        <x:f>AVERAGEIF('Activity Log'!$A$2:$A$121,G5,'Activity Log'!$I$2:$I$121)</x:f>
        <x:v>94</x:v>
      </x:c>
    </x:row>
    <x:row r="6">
      <x:c r="A6" t="str">
        <x:v>Support</x:v>
      </x:c>
      <x:c r="B6" t="n">
        <x:f>COUNTIF('Activity Log'!$C$2:$C$121,A6)</x:f>
        <x:v>20</x:v>
      </x:c>
      <x:c r="C6" t="n">
        <x:f>COUNTIFS('Activity Log'!$C$2:$C$121,A6,'Activity Log'!$H$2:$H$121,"Complete")</x:f>
        <x:v>13</x:v>
      </x:c>
      <x:c r="D6" s="22" t="n">
        <x:f>COUNTIFS('Activity Log'!$C$2:$C$121,A6,'Activity Log'!$J$2:$J$121,"Yes")/B6</x:f>
        <x:v>0.8</x:v>
      </x:c>
      <x:c r="E6" s="24" t="n">
        <x:f>AVERAGEIF('Activity Log'!$C$2:$C$121,A6,'Activity Log'!$I$2:$I$121)</x:f>
        <x:v>92.05</x:v>
      </x:c>
      <x:c r="G6" s="26" t="n">
        <x:v>46208</x:v>
      </x:c>
      <x:c r="H6" t="n">
        <x:f>COUNTIF('Activity Log'!$A$2:$A$121,G6)</x:f>
        <x:v>4</x:v>
      </x:c>
      <x:c r="I6" t="n">
        <x:f>COUNTIFS('Activity Log'!$A$2:$A$121,G6,'Activity Log'!$J$2:$J$121,"Yes")</x:f>
        <x:v>3</x:v>
      </x:c>
      <x:c r="J6" s="24" t="n">
        <x:f>AVERAGEIF('Activity Log'!$A$2:$A$121,G6,'Activity Log'!$I$2:$I$121)</x:f>
        <x:v>89.75</x:v>
      </x:c>
    </x:row>
    <x:row r="7">
      <x:c r="A7" t="str">
        <x:v>Finance</x:v>
      </x:c>
      <x:c r="B7" t="n">
        <x:f>COUNTIF('Activity Log'!$C$2:$C$121,A7)</x:f>
        <x:v>20</x:v>
      </x:c>
      <x:c r="C7" t="n">
        <x:f>COUNTIFS('Activity Log'!$C$2:$C$121,A7,'Activity Log'!$H$2:$H$121,"Complete")</x:f>
        <x:v>14</x:v>
      </x:c>
      <x:c r="D7" s="22" t="n">
        <x:f>COUNTIFS('Activity Log'!$C$2:$C$121,A7,'Activity Log'!$J$2:$J$121,"Yes")/B7</x:f>
        <x:v>0.6</x:v>
      </x:c>
      <x:c r="E7" s="24" t="n">
        <x:f>AVERAGEIF('Activity Log'!$C$2:$C$121,A7,'Activity Log'!$I$2:$I$121)</x:f>
        <x:v>91.4</x:v>
      </x:c>
      <x:c r="G7" s="26" t="n">
        <x:v>46209</x:v>
      </x:c>
      <x:c r="H7" t="n">
        <x:f>COUNTIF('Activity Log'!$A$2:$A$121,G7)</x:f>
        <x:v>4</x:v>
      </x:c>
      <x:c r="I7" t="n">
        <x:f>COUNTIFS('Activity Log'!$A$2:$A$121,G7,'Activity Log'!$J$2:$J$121,"Yes")</x:f>
        <x:v>0</x:v>
      </x:c>
      <x:c r="J7" s="24" t="n">
        <x:f>AVERAGEIF('Activity Log'!$A$2:$A$121,G7,'Activity Log'!$I$2:$I$121)</x:f>
        <x:v>93.5</x:v>
      </x:c>
    </x:row>
    <x:row r="8">
      <x:c r="G8" s="26" t="n">
        <x:v>46210</x:v>
      </x:c>
      <x:c r="H8" t="n">
        <x:f>COUNTIF('Activity Log'!$A$2:$A$121,G8)</x:f>
        <x:v>4</x:v>
      </x:c>
      <x:c r="I8" t="n">
        <x:f>COUNTIFS('Activity Log'!$A$2:$A$121,G8,'Activity Log'!$J$2:$J$121,"Yes")</x:f>
        <x:v>4</x:v>
      </x:c>
      <x:c r="J8" s="24" t="n">
        <x:f>AVERAGEIF('Activity Log'!$A$2:$A$121,G8,'Activity Log'!$I$2:$I$121)</x:f>
        <x:v>84</x:v>
      </x:c>
    </x:row>
    <x:row r="9">
      <x:c r="G9" s="26" t="n">
        <x:v>46211</x:v>
      </x:c>
      <x:c r="H9" t="n">
        <x:f>COUNTIF('Activity Log'!$A$2:$A$121,G9)</x:f>
        <x:v>4</x:v>
      </x:c>
      <x:c r="I9" t="n">
        <x:f>COUNTIFS('Activity Log'!$A$2:$A$121,G9,'Activity Log'!$J$2:$J$121,"Yes")</x:f>
        <x:v>2</x:v>
      </x:c>
      <x:c r="J9" s="24" t="n">
        <x:f>AVERAGEIF('Activity Log'!$A$2:$A$121,G9,'Activity Log'!$I$2:$I$121)</x:f>
        <x:v>88.25</x:v>
      </x:c>
    </x:row>
    <x:row r="10">
      <x:c r="G10" s="26" t="n">
        <x:v>46212</x:v>
      </x:c>
      <x:c r="H10" t="n">
        <x:f>COUNTIF('Activity Log'!$A$2:$A$121,G10)</x:f>
        <x:v>4</x:v>
      </x:c>
      <x:c r="I10" t="n">
        <x:f>COUNTIFS('Activity Log'!$A$2:$A$121,G10,'Activity Log'!$J$2:$J$121,"Yes")</x:f>
        <x:v>2</x:v>
      </x:c>
      <x:c r="J10" s="24" t="n">
        <x:f>AVERAGEIF('Activity Log'!$A$2:$A$121,G10,'Activity Log'!$I$2:$I$121)</x:f>
        <x:v>94</x:v>
      </x:c>
    </x:row>
    <x:row r="11">
      <x:c r="G11" s="26" t="n">
        <x:v>46213</x:v>
      </x:c>
      <x:c r="H11" t="n">
        <x:f>COUNTIF('Activity Log'!$A$2:$A$121,G11)</x:f>
        <x:v>4</x:v>
      </x:c>
      <x:c r="I11" t="n">
        <x:f>COUNTIFS('Activity Log'!$A$2:$A$121,G11,'Activity Log'!$J$2:$J$121,"Yes")</x:f>
        <x:v>3</x:v>
      </x:c>
      <x:c r="J11" s="24" t="n">
        <x:f>AVERAGEIF('Activity Log'!$A$2:$A$121,G11,'Activity Log'!$I$2:$I$121)</x:f>
        <x:v>94.25</x:v>
      </x:c>
    </x:row>
    <x:row r="12">
      <x:c r="G12" s="26" t="n">
        <x:v>46214</x:v>
      </x:c>
      <x:c r="H12" t="n">
        <x:f>COUNTIF('Activity Log'!$A$2:$A$121,G12)</x:f>
        <x:v>4</x:v>
      </x:c>
      <x:c r="I12" t="n">
        <x:f>COUNTIFS('Activity Log'!$A$2:$A$121,G12,'Activity Log'!$J$2:$J$121,"Yes")</x:f>
        <x:v>4</x:v>
      </x:c>
      <x:c r="J12" s="24" t="n">
        <x:f>AVERAGEIF('Activity Log'!$A$2:$A$121,G12,'Activity Log'!$I$2:$I$121)</x:f>
        <x:v>94.75</x:v>
      </x:c>
    </x:row>
    <x:row r="13">
      <x:c r="G13" s="26" t="n">
        <x:v>46215</x:v>
      </x:c>
      <x:c r="H13" t="n">
        <x:f>COUNTIF('Activity Log'!$A$2:$A$121,G13)</x:f>
        <x:v>4</x:v>
      </x:c>
      <x:c r="I13" t="n">
        <x:f>COUNTIFS('Activity Log'!$A$2:$A$121,G13,'Activity Log'!$J$2:$J$121,"Yes")</x:f>
        <x:v>2</x:v>
      </x:c>
      <x:c r="J13" s="24" t="n">
        <x:f>AVERAGEIF('Activity Log'!$A$2:$A$121,G13,'Activity Log'!$I$2:$I$121)</x:f>
        <x:v>88.75</x:v>
      </x:c>
    </x:row>
    <x:row r="14">
      <x:c r="G14" s="26" t="n">
        <x:v>46216</x:v>
      </x:c>
      <x:c r="H14" t="n">
        <x:f>COUNTIF('Activity Log'!$A$2:$A$121,G14)</x:f>
        <x:v>4</x:v>
      </x:c>
      <x:c r="I14" t="n">
        <x:f>COUNTIFS('Activity Log'!$A$2:$A$121,G14,'Activity Log'!$J$2:$J$121,"Yes")</x:f>
        <x:v>2</x:v>
      </x:c>
      <x:c r="J14" s="24" t="n">
        <x:f>AVERAGEIF('Activity Log'!$A$2:$A$121,G14,'Activity Log'!$I$2:$I$121)</x:f>
        <x:v>87.25</x:v>
      </x:c>
    </x:row>
    <x:row r="15">
      <x:c r="G15" s="26" t="n">
        <x:v>46217</x:v>
      </x:c>
      <x:c r="H15" t="n">
        <x:f>COUNTIF('Activity Log'!$A$2:$A$121,G15)</x:f>
        <x:v>4</x:v>
      </x:c>
      <x:c r="I15" t="n">
        <x:f>COUNTIFS('Activity Log'!$A$2:$A$121,G15,'Activity Log'!$J$2:$J$121,"Yes")</x:f>
        <x:v>4</x:v>
      </x:c>
      <x:c r="J15" s="24" t="n">
        <x:f>AVERAGEIF('Activity Log'!$A$2:$A$121,G15,'Activity Log'!$I$2:$I$121)</x:f>
        <x:v>79.5</x:v>
      </x:c>
    </x:row>
    <x:row r="16">
      <x:c r="G16" s="26" t="n">
        <x:v>46218</x:v>
      </x:c>
      <x:c r="H16" t="n">
        <x:f>COUNTIF('Activity Log'!$A$2:$A$121,G16)</x:f>
        <x:v>4</x:v>
      </x:c>
      <x:c r="I16" t="n">
        <x:f>COUNTIFS('Activity Log'!$A$2:$A$121,G16,'Activity Log'!$J$2:$J$121,"Yes")</x:f>
        <x:v>4</x:v>
      </x:c>
      <x:c r="J16" s="24" t="n">
        <x:f>AVERAGEIF('Activity Log'!$A$2:$A$121,G16,'Activity Log'!$I$2:$I$121)</x:f>
        <x:v>92.5</x:v>
      </x:c>
    </x:row>
    <x:row r="17">
      <x:c r="G17" s="26" t="n">
        <x:v>46219</x:v>
      </x:c>
      <x:c r="H17" t="n">
        <x:f>COUNTIF('Activity Log'!$A$2:$A$121,G17)</x:f>
        <x:v>4</x:v>
      </x:c>
      <x:c r="I17" t="n">
        <x:f>COUNTIFS('Activity Log'!$A$2:$A$121,G17,'Activity Log'!$J$2:$J$121,"Yes")</x:f>
        <x:v>3</x:v>
      </x:c>
      <x:c r="J17" s="24" t="n">
        <x:f>AVERAGEIF('Activity Log'!$A$2:$A$121,G17,'Activity Log'!$I$2:$I$121)</x:f>
        <x:v>94.25</x:v>
      </x:c>
    </x:row>
    <x:row r="18">
      <x:c r="G18" s="26" t="n">
        <x:v>46220</x:v>
      </x:c>
      <x:c r="H18" t="n">
        <x:f>COUNTIF('Activity Log'!$A$2:$A$121,G18)</x:f>
        <x:v>4</x:v>
      </x:c>
      <x:c r="I18" t="n">
        <x:f>COUNTIFS('Activity Log'!$A$2:$A$121,G18,'Activity Log'!$J$2:$J$121,"Yes")</x:f>
        <x:v>3</x:v>
      </x:c>
      <x:c r="J18" s="24" t="n">
        <x:f>AVERAGEIF('Activity Log'!$A$2:$A$121,G18,'Activity Log'!$I$2:$I$121)</x:f>
        <x:v>91.5</x:v>
      </x:c>
    </x:row>
    <x:row r="19">
      <x:c r="G19" s="26" t="n">
        <x:v>46221</x:v>
      </x:c>
      <x:c r="H19" t="n">
        <x:f>COUNTIF('Activity Log'!$A$2:$A$121,G19)</x:f>
        <x:v>4</x:v>
      </x:c>
      <x:c r="I19" t="n">
        <x:f>COUNTIFS('Activity Log'!$A$2:$A$121,G19,'Activity Log'!$J$2:$J$121,"Yes")</x:f>
        <x:v>3</x:v>
      </x:c>
      <x:c r="J19" s="24" t="n">
        <x:f>AVERAGEIF('Activity Log'!$A$2:$A$121,G19,'Activity Log'!$I$2:$I$121)</x:f>
        <x:v>92.25</x:v>
      </x:c>
    </x:row>
    <x:row r="20">
      <x:c r="G20" s="26" t="n">
        <x:v>46222</x:v>
      </x:c>
      <x:c r="H20" t="n">
        <x:f>COUNTIF('Activity Log'!$A$2:$A$121,G20)</x:f>
        <x:v>4</x:v>
      </x:c>
      <x:c r="I20" t="n">
        <x:f>COUNTIFS('Activity Log'!$A$2:$A$121,G20,'Activity Log'!$J$2:$J$121,"Yes")</x:f>
        <x:v>4</x:v>
      </x:c>
      <x:c r="J20" s="24" t="n">
        <x:f>AVERAGEIF('Activity Log'!$A$2:$A$121,G20,'Activity Log'!$I$2:$I$121)</x:f>
        <x:v>88.5</x:v>
      </x:c>
    </x:row>
    <x:row r="21">
      <x:c r="G21" s="26" t="n">
        <x:v>46223</x:v>
      </x:c>
      <x:c r="H21" t="n">
        <x:f>COUNTIF('Activity Log'!$A$2:$A$121,G21)</x:f>
        <x:v>4</x:v>
      </x:c>
      <x:c r="I21" t="n">
        <x:f>COUNTIFS('Activity Log'!$A$2:$A$121,G21,'Activity Log'!$J$2:$J$121,"Yes")</x:f>
        <x:v>4</x:v>
      </x:c>
      <x:c r="J21" s="24" t="n">
        <x:f>AVERAGEIF('Activity Log'!$A$2:$A$121,G21,'Activity Log'!$I$2:$I$121)</x:f>
        <x:v>90</x:v>
      </x:c>
    </x:row>
    <x:row r="22">
      <x:c r="G22" s="26" t="n">
        <x:v>46224</x:v>
      </x:c>
      <x:c r="H22" t="n">
        <x:f>COUNTIF('Activity Log'!$A$2:$A$121,G22)</x:f>
        <x:v>4</x:v>
      </x:c>
      <x:c r="I22" t="n">
        <x:f>COUNTIFS('Activity Log'!$A$2:$A$121,G22,'Activity Log'!$J$2:$J$121,"Yes")</x:f>
        <x:v>2</x:v>
      </x:c>
      <x:c r="J22" s="24" t="n">
        <x:f>AVERAGEIF('Activity Log'!$A$2:$A$121,G22,'Activity Log'!$I$2:$I$121)</x:f>
        <x:v>95</x:v>
      </x:c>
    </x:row>
    <x:row r="23">
      <x:c r="G23" s="26" t="n">
        <x:v>46225</x:v>
      </x:c>
      <x:c r="H23" t="n">
        <x:f>COUNTIF('Activity Log'!$A$2:$A$121,G23)</x:f>
        <x:v>4</x:v>
      </x:c>
      <x:c r="I23" t="n">
        <x:f>COUNTIFS('Activity Log'!$A$2:$A$121,G23,'Activity Log'!$J$2:$J$121,"Yes")</x:f>
        <x:v>4</x:v>
      </x:c>
      <x:c r="J23" s="24" t="n">
        <x:f>AVERAGEIF('Activity Log'!$A$2:$A$121,G23,'Activity Log'!$I$2:$I$121)</x:f>
        <x:v>93.25</x:v>
      </x:c>
    </x:row>
    <x:row r="24">
      <x:c r="G24" s="26" t="n">
        <x:v>46226</x:v>
      </x:c>
      <x:c r="H24" t="n">
        <x:f>COUNTIF('Activity Log'!$A$2:$A$121,G24)</x:f>
        <x:v>4</x:v>
      </x:c>
      <x:c r="I24" t="n">
        <x:f>COUNTIFS('Activity Log'!$A$2:$A$121,G24,'Activity Log'!$J$2:$J$121,"Yes")</x:f>
        <x:v>3</x:v>
      </x:c>
      <x:c r="J24" s="24" t="n">
        <x:f>AVERAGEIF('Activity Log'!$A$2:$A$121,G24,'Activity Log'!$I$2:$I$121)</x:f>
        <x:v>91</x:v>
      </x:c>
    </x:row>
    <x:row r="25">
      <x:c r="G25" s="26" t="n">
        <x:v>46227</x:v>
      </x:c>
      <x:c r="H25" t="n">
        <x:f>COUNTIF('Activity Log'!$A$2:$A$121,G25)</x:f>
        <x:v>4</x:v>
      </x:c>
      <x:c r="I25" t="n">
        <x:f>COUNTIFS('Activity Log'!$A$2:$A$121,G25,'Activity Log'!$J$2:$J$121,"Yes")</x:f>
        <x:v>4</x:v>
      </x:c>
      <x:c r="J25" s="24" t="n">
        <x:f>AVERAGEIF('Activity Log'!$A$2:$A$121,G25,'Activity Log'!$I$2:$I$121)</x:f>
        <x:v>89.25</x:v>
      </x:c>
    </x:row>
    <x:row r="26">
      <x:c r="G26" s="26" t="n">
        <x:v>46228</x:v>
      </x:c>
      <x:c r="H26" t="n">
        <x:f>COUNTIF('Activity Log'!$A$2:$A$121,G26)</x:f>
        <x:v>4</x:v>
      </x:c>
      <x:c r="I26" t="n">
        <x:f>COUNTIFS('Activity Log'!$A$2:$A$121,G26,'Activity Log'!$J$2:$J$121,"Yes")</x:f>
        <x:v>2</x:v>
      </x:c>
      <x:c r="J26" s="24" t="n">
        <x:f>AVERAGEIF('Activity Log'!$A$2:$A$121,G26,'Activity Log'!$I$2:$I$121)</x:f>
        <x:v>92.75</x:v>
      </x:c>
    </x:row>
    <x:row r="27">
      <x:c r="G27" s="26" t="n">
        <x:v>46229</x:v>
      </x:c>
      <x:c r="H27" t="n">
        <x:f>COUNTIF('Activity Log'!$A$2:$A$121,G27)</x:f>
        <x:v>4</x:v>
      </x:c>
      <x:c r="I27" t="n">
        <x:f>COUNTIFS('Activity Log'!$A$2:$A$121,G27,'Activity Log'!$J$2:$J$121,"Yes")</x:f>
        <x:v>1</x:v>
      </x:c>
      <x:c r="J27" s="24" t="n">
        <x:f>AVERAGEIF('Activity Log'!$A$2:$A$121,G27,'Activity Log'!$I$2:$I$121)</x:f>
        <x:v>92.75</x:v>
      </x:c>
    </x:row>
    <x:row r="28">
      <x:c r="G28" s="26" t="n">
        <x:v>46230</x:v>
      </x:c>
      <x:c r="H28" t="n">
        <x:f>COUNTIF('Activity Log'!$A$2:$A$121,G28)</x:f>
        <x:v>4</x:v>
      </x:c>
      <x:c r="I28" t="n">
        <x:f>COUNTIFS('Activity Log'!$A$2:$A$121,G28,'Activity Log'!$J$2:$J$121,"Yes")</x:f>
        <x:v>1</x:v>
      </x:c>
      <x:c r="J28" s="24" t="n">
        <x:f>AVERAGEIF('Activity Log'!$A$2:$A$121,G28,'Activity Log'!$I$2:$I$121)</x:f>
        <x:v>86.75</x:v>
      </x:c>
    </x:row>
    <x:row r="29">
      <x:c r="G29" s="26" t="n">
        <x:v>46231</x:v>
      </x:c>
      <x:c r="H29" t="n">
        <x:f>COUNTIF('Activity Log'!$A$2:$A$121,G29)</x:f>
        <x:v>4</x:v>
      </x:c>
      <x:c r="I29" t="n">
        <x:f>COUNTIFS('Activity Log'!$A$2:$A$121,G29,'Activity Log'!$J$2:$J$121,"Yes")</x:f>
        <x:v>2</x:v>
      </x:c>
      <x:c r="J29" s="24" t="n">
        <x:f>AVERAGEIF('Activity Log'!$A$2:$A$121,G29,'Activity Log'!$I$2:$I$121)</x:f>
        <x:v>87</x:v>
      </x:c>
    </x:row>
    <x:row r="30">
      <x:c r="G30" s="26" t="n">
        <x:v>46232</x:v>
      </x:c>
      <x:c r="H30" t="n">
        <x:f>COUNTIF('Activity Log'!$A$2:$A$121,G30)</x:f>
        <x:v>4</x:v>
      </x:c>
      <x:c r="I30" t="n">
        <x:f>COUNTIFS('Activity Log'!$A$2:$A$121,G30,'Activity Log'!$J$2:$J$121,"Yes")</x:f>
        <x:v>3</x:v>
      </x:c>
      <x:c r="J30" s="24" t="n">
        <x:f>AVERAGEIF('Activity Log'!$A$2:$A$121,G30,'Activity Log'!$I$2:$I$121)</x:f>
        <x:v>93.25</x:v>
      </x:c>
    </x:row>
    <x:row r="31">
      <x:c r="G31" s="26" t="n">
        <x:v>46233</x:v>
      </x:c>
      <x:c r="H31" t="n">
        <x:f>COUNTIF('Activity Log'!$A$2:$A$121,G31)</x:f>
        <x:v>4</x:v>
      </x:c>
      <x:c r="I31" t="n">
        <x:f>COUNTIFS('Activity Log'!$A$2:$A$121,G31,'Activity Log'!$J$2:$J$121,"Yes")</x:f>
        <x:v>3</x:v>
      </x:c>
      <x:c r="J31" s="24" t="n">
        <x:f>AVERAGEIF('Activity Log'!$A$2:$A$121,G31,'Activity Log'!$I$2:$I$121)</x:f>
        <x:v>93.25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2.75" hidden="0" customWidth="1"/>
    <x:col min="3" max="3" width="11" hidden="0" customWidth="1"/>
    <x:col min="4" max="4" width="7.630000114440918" hidden="0" customWidth="1"/>
  </x:cols>
  <x:sheetData>
    <x:row r="1">
      <x:c r="A1" s="4" t="str">
        <x:v>Teams</x:v>
      </x:c>
      <x:c r="B1" s="4" t="str">
        <x:v>Categories</x:v>
      </x:c>
      <x:c r="C1" s="4" t="str">
        <x:v>Statuses</x:v>
      </x:c>
      <x:c r="D1" s="4" t="str">
        <x:v>Analysts</x:v>
      </x:c>
    </x:row>
    <x:row r="2">
      <x:c r="A2" t="str">
        <x:v>Team Alpha</x:v>
      </x:c>
      <x:c r="B2" t="str">
        <x:v>Logistics</x:v>
      </x:c>
      <x:c r="C2" t="str">
        <x:v>Complete</x:v>
      </x:c>
      <x:c r="D2" t="str">
        <x:v>A. Davis</x:v>
      </x:c>
    </x:row>
    <x:row r="3">
      <x:c r="A3" t="str">
        <x:v>Team Bravo</x:v>
      </x:c>
      <x:c r="B3" t="str">
        <x:v>Training Support</x:v>
      </x:c>
      <x:c r="C3" t="str">
        <x:v>In Progress</x:v>
      </x:c>
      <x:c r="D3" t="str">
        <x:v>J. Smith</x:v>
      </x:c>
    </x:row>
    <x:row r="4">
      <x:c r="A4" t="str">
        <x:v>Team Charlie</x:v>
      </x:c>
      <x:c r="B4" t="str">
        <x:v>Medical</x:v>
      </x:c>
      <x:c r="C4" t="str">
        <x:v>Needs Review</x:v>
      </x:c>
      <x:c r="D4" t="str">
        <x:v>M. Carter</x:v>
      </x:c>
    </x:row>
    <x:row r="5">
      <x:c r="A5" t="str">
        <x:v>Operations</x:v>
      </x:c>
      <x:c r="B5" t="str">
        <x:v>Safety</x:v>
      </x:c>
      <x:c r="C5" t="str">
        <x:v>Delayed</x:v>
      </x:c>
      <x:c r="D5" t="str">
        <x:v>R. Lee</x:v>
      </x:c>
    </x:row>
    <x:row r="6">
      <x:c r="A6" t="str">
        <x:v>Support</x:v>
      </x:c>
      <x:c r="B6" t="str">
        <x:v>Personnel</x:v>
      </x:c>
      <x:c r="C6"/>
      <x:c r="D6"/>
    </x:row>
    <x:row r="7">
      <x:c r="A7" t="str">
        <x:v>Finance</x:v>
      </x:c>
      <x:c r="B7" t="str">
        <x:v>Reporting</x:v>
      </x:c>
      <x:c r="C7"/>
      <x:c r="D7"/>
    </x:row>
  </x:sheetData>
  <x:pageMargins left="0.7" right="0.7" top="0.75" bottom="0.75" header="0.3" footer="0.3"/>
</x:worksheet>
</file>